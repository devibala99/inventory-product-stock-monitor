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Data" sheetId="1" r:id="rId5"/>
    <sheet state="visible" name="Supplier Master" sheetId="2" r:id="rId6"/>
    <sheet state="visible" name="Product Master" sheetId="3" r:id="rId7"/>
    <sheet state="visible" name="Dashboard Guide" sheetId="4" r:id="rId8"/>
    <sheet state="visible" name="Lists" sheetId="5" r:id="rId9"/>
  </sheets>
  <definedNames>
    <definedName name="CategoryList">Lists!$A$2:$A$8</definedName>
    <definedName name="SupplierIDList">'Supplier Master'!$A$2:$A$16</definedName>
    <definedName hidden="1" localSheetId="0" name="_xlnm._FilterDatabase">'Inventory Data'!$A$1:$N$151</definedName>
    <definedName hidden="1" localSheetId="1" name="_xlnm._FilterDatabase">'Supplier Master'!$A$1:$F$13</definedName>
    <definedName hidden="1" localSheetId="2" name="_xlnm._FilterDatabase">'Product Master'!$A$1:$E$151</definedName>
    <definedName hidden="1" localSheetId="3" name="_xlnm._FilterDatabase">'Dashboard Guide'!$A$1:$B$25</definedName>
  </definedNames>
  <calcPr/>
</workbook>
</file>

<file path=xl/sharedStrings.xml><?xml version="1.0" encoding="utf-8"?>
<sst xmlns="http://schemas.openxmlformats.org/spreadsheetml/2006/main" count="1744" uniqueCount="534">
  <si>
    <t>Product ID</t>
  </si>
  <si>
    <t>PRODUCT INVENTORY STOCK-LEVEL MONITOR</t>
  </si>
  <si>
    <t>Supplier ID</t>
  </si>
  <si>
    <t>Product Name</t>
  </si>
  <si>
    <t>Category</t>
  </si>
  <si>
    <t>Supplier Name</t>
  </si>
  <si>
    <t>Contact Email</t>
  </si>
  <si>
    <t>Reference Unit Price (₹)</t>
  </si>
  <si>
    <t>Contact Phone</t>
  </si>
  <si>
    <t>PRD001</t>
  </si>
  <si>
    <t>Lead Time (Days)</t>
  </si>
  <si>
    <t>Purpose</t>
  </si>
  <si>
    <t>Standard Reorder Quantity</t>
  </si>
  <si>
    <t>Wireless Mouse</t>
  </si>
  <si>
    <t>Supplier</t>
  </si>
  <si>
    <t>Electronics</t>
  </si>
  <si>
    <t>SUP001</t>
  </si>
  <si>
    <t>Quantity in Stock</t>
  </si>
  <si>
    <t>Apex Wholesale</t>
  </si>
  <si>
    <t>Use this workbook to practise Excel inventory analysis. All company and supplier data are fictional.</t>
  </si>
  <si>
    <t>Reorder Level</t>
  </si>
  <si>
    <t>Main sheet</t>
  </si>
  <si>
    <t>PRD002</t>
  </si>
  <si>
    <t>Bluetooth Speaker</t>
  </si>
  <si>
    <t>Inventory Data — 200 unique products across 7 categories, 15 suppliers. Formula columns are Supplier, Stock Value, Lead Time, Stock Status, Reorder Quantity, and Days Since Restock.</t>
  </si>
  <si>
    <t>SUP007</t>
  </si>
  <si>
    <t>Supplier lookup</t>
  </si>
  <si>
    <t>PRD003</t>
  </si>
  <si>
    <t>USB-C Cable</t>
  </si>
  <si>
    <t>Supplier names and lead times are pulled from Supplier Master using VLOOKUP.</t>
  </si>
  <si>
    <t>orders@apexwholesale.example</t>
  </si>
  <si>
    <t>Unit Price (₹)</t>
  </si>
  <si>
    <t>+91-90000-10001</t>
  </si>
  <si>
    <t>Stock Value</t>
  </si>
  <si>
    <t>Quantity in Stock × Unit Price.</t>
  </si>
  <si>
    <t>PRD004</t>
  </si>
  <si>
    <t>LED Desk Lamp</t>
  </si>
  <si>
    <t>Stock Value (₹)</t>
  </si>
  <si>
    <t>Stock Status</t>
  </si>
  <si>
    <t>SUP002</t>
  </si>
  <si>
    <t>BluePeak Distributors</t>
  </si>
  <si>
    <t>Out of Stock when quantity = 0; Low Stock when quantity is below reorder level; otherwise In Stock.</t>
  </si>
  <si>
    <t>Last Restocked Date</t>
  </si>
  <si>
    <t>sales@bluepeak.example</t>
  </si>
  <si>
    <t>PRD005</t>
  </si>
  <si>
    <t>Power Bank</t>
  </si>
  <si>
    <t>Reorder Quantity</t>
  </si>
  <si>
    <t>+91-90000-10002</t>
  </si>
  <si>
    <t>SUP004</t>
  </si>
  <si>
    <t>SUP003</t>
  </si>
  <si>
    <t>Suggested quantity is calculated when current stock is below the reorder level; it is a learning rule, not an operational purchasing recommendation.</t>
  </si>
  <si>
    <t>Cedar Supply Co.</t>
  </si>
  <si>
    <t>contact@cedarsupply.example</t>
  </si>
  <si>
    <t>PRD006</t>
  </si>
  <si>
    <t>Keyboard</t>
  </si>
  <si>
    <t>+91-90000-10003</t>
  </si>
  <si>
    <t>Days Since Restock</t>
  </si>
  <si>
    <t>Uses TODAY() and updates when Excel recalculates.</t>
  </si>
  <si>
    <t>PRD007</t>
  </si>
  <si>
    <t>Suggested KPI 1</t>
  </si>
  <si>
    <t>Delta Retail Partners</t>
  </si>
  <si>
    <t>Webcam</t>
  </si>
  <si>
    <t>Total Products: COUNTA of Product ID.</t>
  </si>
  <si>
    <t>orders@deltaretail.example</t>
  </si>
  <si>
    <t>SUP009</t>
  </si>
  <si>
    <t>+91-90000-10004</t>
  </si>
  <si>
    <t>Suggested KPI 2</t>
  </si>
  <si>
    <t>Total Stock Units: SUM of Quantity in Stock.</t>
  </si>
  <si>
    <t>PRD008</t>
  </si>
  <si>
    <t>Headphones</t>
  </si>
  <si>
    <t>SUP005</t>
  </si>
  <si>
    <t>Suggested KPI 3</t>
  </si>
  <si>
    <t>Evergreen Traders</t>
  </si>
  <si>
    <t>sales@evergreen.example</t>
  </si>
  <si>
    <t>Total Inventory Value: SUM of Stock Value.</t>
  </si>
  <si>
    <t>PRD009</t>
  </si>
  <si>
    <t>+91-90000-10005</t>
  </si>
  <si>
    <t>HDMI Cable</t>
  </si>
  <si>
    <t>Suggested KPI 4</t>
  </si>
  <si>
    <t>Out-of-Stock Products: COUNTIF Stock Status = Out of Stock.</t>
  </si>
  <si>
    <t>SUP006</t>
  </si>
  <si>
    <t>PRD010</t>
  </si>
  <si>
    <t>FreshCart Suppliers</t>
  </si>
  <si>
    <t>Smart Plug</t>
  </si>
  <si>
    <t>Suggested KPI 5</t>
  </si>
  <si>
    <t>orders@freshcart.example</t>
  </si>
  <si>
    <t>+91-90000-10006</t>
  </si>
  <si>
    <t>Low-Stock Products: COUNTIF Stock Status = Low Stock.</t>
  </si>
  <si>
    <t>PRD011</t>
  </si>
  <si>
    <t>Phone Charger</t>
  </si>
  <si>
    <t>Suggested KPI 6</t>
  </si>
  <si>
    <t>Products to Reorder: count rows where Stock Status is Out of Stock or Low Stock.</t>
  </si>
  <si>
    <t>GoldenGate Supplies</t>
  </si>
  <si>
    <t>contact@goldengate.example</t>
  </si>
  <si>
    <t>+91-90000-10007</t>
  </si>
  <si>
    <t>PRD012</t>
  </si>
  <si>
    <t>PivotTable 1</t>
  </si>
  <si>
    <t>Portable SSD</t>
  </si>
  <si>
    <t>SUP008</t>
  </si>
  <si>
    <t>Horizon Merchants</t>
  </si>
  <si>
    <t>Rows: Category; Values: Sum of Quantity in Stock, Sum of Stock Value; Filters/Slicers: Supplier, Stock Status.</t>
  </si>
  <si>
    <t>sales@horizon.example</t>
  </si>
  <si>
    <t>+91-90000-10008</t>
  </si>
  <si>
    <t>PRD013</t>
  </si>
  <si>
    <t>Router</t>
  </si>
  <si>
    <t>PivotTable 2</t>
  </si>
  <si>
    <t>Rows: Supplier; Values: Count of Product ID, Sum of Stock Value; Filter: Category.</t>
  </si>
  <si>
    <t>PRD014</t>
  </si>
  <si>
    <t>PivotTable 3</t>
  </si>
  <si>
    <t>Monitor Stand</t>
  </si>
  <si>
    <t>Rows: Stock Status; Values: Count of Product ID; show as % of Grand Total for status distribution.</t>
  </si>
  <si>
    <t>Indigo Industrial Supply</t>
  </si>
  <si>
    <t>orders@indigo.example</t>
  </si>
  <si>
    <t>PRD015</t>
  </si>
  <si>
    <t>+91-90000-10009</t>
  </si>
  <si>
    <t>Suggested charts</t>
  </si>
  <si>
    <t>Laptop Sleeve</t>
  </si>
  <si>
    <t>Column chart: stock value by category. Doughnut/pie: products by stock status. Bar chart: inventory value by supplier.</t>
  </si>
  <si>
    <t>SUP010</t>
  </si>
  <si>
    <t>PRD016</t>
  </si>
  <si>
    <t>Data Validation</t>
  </si>
  <si>
    <t>Memory Card</t>
  </si>
  <si>
    <t>Jasmine General Trading</t>
  </si>
  <si>
    <t>Apply list validation to Category using Product Master categories, and Supplier ID using Supplier Master supplier IDs. For production use, avoid editing formula-driven columns.</t>
  </si>
  <si>
    <t>contact@jasmine.example</t>
  </si>
  <si>
    <t>+91-90000-10010</t>
  </si>
  <si>
    <t>Conditional Formatting</t>
  </si>
  <si>
    <t>PRD017</t>
  </si>
  <si>
    <t>USB Hub</t>
  </si>
  <si>
    <t>Red for Out of Stock, yellow for Low Stock, green for In Stock; apply data bars to Quantity in Stock or Stock Value.</t>
  </si>
  <si>
    <t>SUP011</t>
  </si>
  <si>
    <t>Keystone Products</t>
  </si>
  <si>
    <t>PRD018</t>
  </si>
  <si>
    <t>sales@keystone.example</t>
  </si>
  <si>
    <t>Lookup practice</t>
  </si>
  <si>
    <t>Desk Microphone</t>
  </si>
  <si>
    <t>+91-90000-10011</t>
  </si>
  <si>
    <t>Compare VLOOKUP, XLOOKUP (Excel 365/2021+), and INDEX-MATCH using Product ID or Supplier ID.</t>
  </si>
  <si>
    <t>SUP012</t>
  </si>
  <si>
    <t>PRD019</t>
  </si>
  <si>
    <t>Aggregation practice</t>
  </si>
  <si>
    <t>Lotus Market Supply</t>
  </si>
  <si>
    <t>Smart Bulb</t>
  </si>
  <si>
    <t>Use SUMIF/SUMIFS, COUNTIF/COUNTIFS, AVERAGEIF/AVERAGEIFS for category and supplier summaries.</t>
  </si>
  <si>
    <t>orders@lotusmarket.example</t>
  </si>
  <si>
    <t>+91-90000-10012</t>
  </si>
  <si>
    <t>Text/date practice</t>
  </si>
  <si>
    <t>PRD020</t>
  </si>
  <si>
    <t>Use TRIM, UPPER, CONCAT/TEXTJOIN, TEXT, TODAY, and DATEDIF or simple date subtraction.</t>
  </si>
  <si>
    <t>Surge Protector</t>
  </si>
  <si>
    <t>SUP013</t>
  </si>
  <si>
    <t>Maple Books Distribution</t>
  </si>
  <si>
    <t>Macro/VBA</t>
  </si>
  <si>
    <t>orders@maplebooks.example</t>
  </si>
  <si>
    <t>+91-90000-10013</t>
  </si>
  <si>
    <t>PRD021</t>
  </si>
  <si>
    <t>Optional: save a copy as .xlsm before adding macros. Enable macros only in files you trust.</t>
  </si>
  <si>
    <t>Earbuds</t>
  </si>
  <si>
    <t>Important note</t>
  </si>
  <si>
    <t>SUP014</t>
  </si>
  <si>
    <t>Nilgiri Publishers Hub</t>
  </si>
  <si>
    <t>The workbook includes formulas, not a prebuilt dashboard. Building the formulas, PivotTables, slicers, charts, and optional macro is part of your project practice.</t>
  </si>
  <si>
    <t>PRD022</t>
  </si>
  <si>
    <t>sales@nilgiripub.example</t>
  </si>
  <si>
    <t>Webcam Cover</t>
  </si>
  <si>
    <t>+91-90000-10014</t>
  </si>
  <si>
    <t>Data note</t>
  </si>
  <si>
    <t>SUP015</t>
  </si>
  <si>
    <t>PRD023</t>
  </si>
  <si>
    <t>Orchid Media Traders</t>
  </si>
  <si>
    <t>Synthetic dataset. Prices are illustrative Indian e-commerce selling prices in ₹ (Amazon/Flipkart-style); suppliers are fictional. Category dropdown reads from the Lists sheet.</t>
  </si>
  <si>
    <t>Laptop Cooling Pad</t>
  </si>
  <si>
    <t>contact@orchidmedia.example</t>
  </si>
  <si>
    <t>+91-90000-10015</t>
  </si>
  <si>
    <t>PRD024</t>
  </si>
  <si>
    <t>Charging Dock</t>
  </si>
  <si>
    <t>PRD025</t>
  </si>
  <si>
    <t>Ethernet Cable</t>
  </si>
  <si>
    <t>PRD026</t>
  </si>
  <si>
    <t>External Hard Drive</t>
  </si>
  <si>
    <t>PRD027</t>
  </si>
  <si>
    <t>Screen Protector</t>
  </si>
  <si>
    <t>PRD028</t>
  </si>
  <si>
    <t>Tablet Stand</t>
  </si>
  <si>
    <t>PRD029</t>
  </si>
  <si>
    <t>Gaming Mouse Pad</t>
  </si>
  <si>
    <t>PRD030</t>
  </si>
  <si>
    <t>Wireless Keyboard</t>
  </si>
  <si>
    <t>PRD031</t>
  </si>
  <si>
    <t>Basmati Rice 5kg</t>
  </si>
  <si>
    <t>Grocery</t>
  </si>
  <si>
    <t>PRD032</t>
  </si>
  <si>
    <t>Wheat Flour 5kg</t>
  </si>
  <si>
    <t>PRD033</t>
  </si>
  <si>
    <t>Sunflower Oil 1L</t>
  </si>
  <si>
    <t>PRD034</t>
  </si>
  <si>
    <t>Green Tea Pack</t>
  </si>
  <si>
    <t>PRD035</t>
  </si>
  <si>
    <t>Coffee Powder 200g</t>
  </si>
  <si>
    <t>PRD036</t>
  </si>
  <si>
    <t>Sugar 1kg</t>
  </si>
  <si>
    <t>PRD037</t>
  </si>
  <si>
    <t>Salt 1kg</t>
  </si>
  <si>
    <t>PRD038</t>
  </si>
  <si>
    <t>Toor Dal 1kg</t>
  </si>
  <si>
    <t>PRD039</t>
  </si>
  <si>
    <t>Chickpeas 1kg</t>
  </si>
  <si>
    <t>PRD040</t>
  </si>
  <si>
    <t>Oats 1kg</t>
  </si>
  <si>
    <t>PRD041</t>
  </si>
  <si>
    <t>Pasta Pack</t>
  </si>
  <si>
    <t>PRD042</t>
  </si>
  <si>
    <t>Tomato Ketchup</t>
  </si>
  <si>
    <t>PRD043</t>
  </si>
  <si>
    <t>Peanut Butter</t>
  </si>
  <si>
    <t>PRD044</t>
  </si>
  <si>
    <t>Breakfast Cereal</t>
  </si>
  <si>
    <t>PRD045</t>
  </si>
  <si>
    <t>Biscuit Pack</t>
  </si>
  <si>
    <t>PRD046</t>
  </si>
  <si>
    <t>Corn Flakes</t>
  </si>
  <si>
    <t>PRD047</t>
  </si>
  <si>
    <t>Coconut Milk</t>
  </si>
  <si>
    <t>PRD048</t>
  </si>
  <si>
    <t>Spice Mix</t>
  </si>
  <si>
    <t>PRD049</t>
  </si>
  <si>
    <t>Honey 500g</t>
  </si>
  <si>
    <t>PRD050</t>
  </si>
  <si>
    <t>Instant Noodles</t>
  </si>
  <si>
    <t>PRD051</t>
  </si>
  <si>
    <t>Ground Coffee</t>
  </si>
  <si>
    <t>PRD052</t>
  </si>
  <si>
    <t>Red Lentils</t>
  </si>
  <si>
    <t>PRD053</t>
  </si>
  <si>
    <t>Cooking Vinegar</t>
  </si>
  <si>
    <t>PRD054</t>
  </si>
  <si>
    <t>Olive Oil 500ml</t>
  </si>
  <si>
    <t>PRD055</t>
  </si>
  <si>
    <t>Canned Beans</t>
  </si>
  <si>
    <t>PRD056</t>
  </si>
  <si>
    <t>Popcorn Kernels</t>
  </si>
  <si>
    <t>PRD057</t>
  </si>
  <si>
    <t>Fruit Juice 1L</t>
  </si>
  <si>
    <t>PRD058</t>
  </si>
  <si>
    <t>Jaggery 1kg</t>
  </si>
  <si>
    <t>PRD059</t>
  </si>
  <si>
    <t>Dry Fruits Pack</t>
  </si>
  <si>
    <t>PRD060</t>
  </si>
  <si>
    <t>Whole Wheat Bread</t>
  </si>
  <si>
    <t>PRD061</t>
  </si>
  <si>
    <t>A4 Paper Ream</t>
  </si>
  <si>
    <t>Stationery</t>
  </si>
  <si>
    <t>PRD062</t>
  </si>
  <si>
    <t>Ballpoint Pens Pack</t>
  </si>
  <si>
    <t>PRD063</t>
  </si>
  <si>
    <t>Pencil Set</t>
  </si>
  <si>
    <t>PRD064</t>
  </si>
  <si>
    <t>Highlighter Set</t>
  </si>
  <si>
    <t>PRD065</t>
  </si>
  <si>
    <t>Sticky Notes</t>
  </si>
  <si>
    <t>PRD066</t>
  </si>
  <si>
    <t>Spiral Notebook</t>
  </si>
  <si>
    <t>PRD067</t>
  </si>
  <si>
    <t>File Folder</t>
  </si>
  <si>
    <t>PRD068</t>
  </si>
  <si>
    <t>Stapler</t>
  </si>
  <si>
    <t>PRD069</t>
  </si>
  <si>
    <t>Staple Pins</t>
  </si>
  <si>
    <t>PRD070</t>
  </si>
  <si>
    <t>Whiteboard Marker</t>
  </si>
  <si>
    <t>PRD071</t>
  </si>
  <si>
    <t>Permanent Marker</t>
  </si>
  <si>
    <t>PRD072</t>
  </si>
  <si>
    <t>Eraser Pack</t>
  </si>
  <si>
    <t>PRD073</t>
  </si>
  <si>
    <t>Ruler 30cm</t>
  </si>
  <si>
    <t>PRD074</t>
  </si>
  <si>
    <t>Geometry Box</t>
  </si>
  <si>
    <t>PRD075</t>
  </si>
  <si>
    <t>Correction Tape</t>
  </si>
  <si>
    <t>PRD076</t>
  </si>
  <si>
    <t>Glue Stick</t>
  </si>
  <si>
    <t>PRD077</t>
  </si>
  <si>
    <t>Scissors</t>
  </si>
  <si>
    <t>PRD078</t>
  </si>
  <si>
    <t>Paper Clips Box</t>
  </si>
  <si>
    <t>PRD079</t>
  </si>
  <si>
    <t>Desk Organizer</t>
  </si>
  <si>
    <t>PRD080</t>
  </si>
  <si>
    <t>Drawing Book</t>
  </si>
  <si>
    <t>PRD081</t>
  </si>
  <si>
    <t>Graph Notebook</t>
  </si>
  <si>
    <t>PRD082</t>
  </si>
  <si>
    <t>Envelope Pack</t>
  </si>
  <si>
    <t>PRD083</t>
  </si>
  <si>
    <t>Index Cards</t>
  </si>
  <si>
    <t>PRD084</t>
  </si>
  <si>
    <t>Calculator</t>
  </si>
  <si>
    <t>PRD085</t>
  </si>
  <si>
    <t>Binder Clips</t>
  </si>
  <si>
    <t>PRD086</t>
  </si>
  <si>
    <t>Stainless Steel Bottle</t>
  </si>
  <si>
    <t>Home &amp; Kitchen</t>
  </si>
  <si>
    <t>PRD087</t>
  </si>
  <si>
    <t>Ceramic Mug</t>
  </si>
  <si>
    <t>PRD088</t>
  </si>
  <si>
    <t>Storage Container Set</t>
  </si>
  <si>
    <t>PRD089</t>
  </si>
  <si>
    <t>Nonstick Frying Pan</t>
  </si>
  <si>
    <t>PRD090</t>
  </si>
  <si>
    <t>Kitchen Towel Set</t>
  </si>
  <si>
    <t>PRD091</t>
  </si>
  <si>
    <t>Lunch Box</t>
  </si>
  <si>
    <t>PRD092</t>
  </si>
  <si>
    <t>Water Jug</t>
  </si>
  <si>
    <t>PRD093</t>
  </si>
  <si>
    <t>Cutlery Set</t>
  </si>
  <si>
    <t>PRD094</t>
  </si>
  <si>
    <t>Food Storage Bags</t>
  </si>
  <si>
    <t>PRD095</t>
  </si>
  <si>
    <t>Measuring Cups</t>
  </si>
  <si>
    <t>PRD096</t>
  </si>
  <si>
    <t>Dish Rack</t>
  </si>
  <si>
    <t>PRD097</t>
  </si>
  <si>
    <t>Peeler</t>
  </si>
  <si>
    <t>PRD098</t>
  </si>
  <si>
    <t>Chopping Board</t>
  </si>
  <si>
    <t>PRD099</t>
  </si>
  <si>
    <t>Pressure Cooker</t>
  </si>
  <si>
    <t>PRD100</t>
  </si>
  <si>
    <t>Spice Jar Set</t>
  </si>
  <si>
    <t>PRD101</t>
  </si>
  <si>
    <t>Laundry Basket</t>
  </si>
  <si>
    <t>PRD102</t>
  </si>
  <si>
    <t>Microfiber Cloth</t>
  </si>
  <si>
    <t>PRD103</t>
  </si>
  <si>
    <t>LED Night Light</t>
  </si>
  <si>
    <t>PRD104</t>
  </si>
  <si>
    <t>Bath Mat</t>
  </si>
  <si>
    <t>PRD105</t>
  </si>
  <si>
    <t>Doormat</t>
  </si>
  <si>
    <t>PRD106</t>
  </si>
  <si>
    <t>Pillow Cover Set</t>
  </si>
  <si>
    <t>PRD107</t>
  </si>
  <si>
    <t>Hanger Pack</t>
  </si>
  <si>
    <t>PRD108</t>
  </si>
  <si>
    <t>Vacuum Flask</t>
  </si>
  <si>
    <t>PRD109</t>
  </si>
  <si>
    <t>Mixing Bowl Set</t>
  </si>
  <si>
    <t>PRD110</t>
  </si>
  <si>
    <t>Reusable Shopping Bag</t>
  </si>
  <si>
    <t>PRD111</t>
  </si>
  <si>
    <t>Shampoo 400ml</t>
  </si>
  <si>
    <t>Personal Care</t>
  </si>
  <si>
    <t>PRD112</t>
  </si>
  <si>
    <t>Conditioner 400ml</t>
  </si>
  <si>
    <t>PRD113</t>
  </si>
  <si>
    <t>Hand Wash 250ml</t>
  </si>
  <si>
    <t>PRD114</t>
  </si>
  <si>
    <t>Body Lotion 200ml</t>
  </si>
  <si>
    <t>PRD115</t>
  </si>
  <si>
    <t>Toothpaste 150g</t>
  </si>
  <si>
    <t>PRD116</t>
  </si>
  <si>
    <t>Toothbrush Pack</t>
  </si>
  <si>
    <t>PRD117</t>
  </si>
  <si>
    <t>Face Wash 100ml</t>
  </si>
  <si>
    <t>PRD118</t>
  </si>
  <si>
    <t>Sunscreen 50ml</t>
  </si>
  <si>
    <t>PRD119</t>
  </si>
  <si>
    <t>Moisturizer 100ml</t>
  </si>
  <si>
    <t>PRD120</t>
  </si>
  <si>
    <t>Hair Oil 200ml</t>
  </si>
  <si>
    <t>PRD121</t>
  </si>
  <si>
    <t>Deodorant Spray</t>
  </si>
  <si>
    <t>PRD122</t>
  </si>
  <si>
    <t>Bath Soap Pack</t>
  </si>
  <si>
    <t>PRD123</t>
  </si>
  <si>
    <t>Cotton Pads</t>
  </si>
  <si>
    <t>PRD124</t>
  </si>
  <si>
    <t>Wet Wipes Pack</t>
  </si>
  <si>
    <t>PRD125</t>
  </si>
  <si>
    <t>Sanitizer 500ml</t>
  </si>
  <si>
    <t>PRD126</t>
  </si>
  <si>
    <t>Comb</t>
  </si>
  <si>
    <t>PRD127</t>
  </si>
  <si>
    <t>Nail Clipper</t>
  </si>
  <si>
    <t>PRD128</t>
  </si>
  <si>
    <t>Shaving Cream</t>
  </si>
  <si>
    <t>PRD129</t>
  </si>
  <si>
    <t>Lip Balm</t>
  </si>
  <si>
    <t>PRD130</t>
  </si>
  <si>
    <t>Tissue Box</t>
  </si>
  <si>
    <t>PRD131</t>
  </si>
  <si>
    <t>Yoga Mat</t>
  </si>
  <si>
    <t>Sports &amp; Fitness</t>
  </si>
  <si>
    <t>PRD132</t>
  </si>
  <si>
    <t>Resistance Bands</t>
  </si>
  <si>
    <t>PRD133</t>
  </si>
  <si>
    <t>Skipping Rope</t>
  </si>
  <si>
    <t>PRD134</t>
  </si>
  <si>
    <t>Water Bottle Sports</t>
  </si>
  <si>
    <t>PRD135</t>
  </si>
  <si>
    <t>Dumbbell 2kg</t>
  </si>
  <si>
    <t>PRD136</t>
  </si>
  <si>
    <t>Fitness Gloves</t>
  </si>
  <si>
    <t>PRD137</t>
  </si>
  <si>
    <t>Tennis Ball Pack</t>
  </si>
  <si>
    <t>PRD138</t>
  </si>
  <si>
    <t>Football</t>
  </si>
  <si>
    <t>PRD139</t>
  </si>
  <si>
    <t>Badminton Racket</t>
  </si>
  <si>
    <t>PRD140</t>
  </si>
  <si>
    <t>Shuttlecock Pack</t>
  </si>
  <si>
    <t>PRD141</t>
  </si>
  <si>
    <t>Knee Support</t>
  </si>
  <si>
    <t>Books &amp; Media</t>
  </si>
  <si>
    <t>PRD142</t>
  </si>
  <si>
    <t>Foam Roller</t>
  </si>
  <si>
    <t>PRD143</t>
  </si>
  <si>
    <t>Gym Towel</t>
  </si>
  <si>
    <t>PRD144</t>
  </si>
  <si>
    <t>Exercise Ball</t>
  </si>
  <si>
    <t>PRD145</t>
  </si>
  <si>
    <t>Jump Trainer</t>
  </si>
  <si>
    <t>PRD146</t>
  </si>
  <si>
    <t>Cycling Helmet</t>
  </si>
  <si>
    <t>PRD147</t>
  </si>
  <si>
    <t>Sports Socks</t>
  </si>
  <si>
    <t>PRD148</t>
  </si>
  <si>
    <t>Hand Grip Strengthener</t>
  </si>
  <si>
    <t>PRD149</t>
  </si>
  <si>
    <t>Running Belt</t>
  </si>
  <si>
    <t>PRD150</t>
  </si>
  <si>
    <t>Yoga Block Set</t>
  </si>
  <si>
    <t>PRD151</t>
  </si>
  <si>
    <t>Neckband Earphones</t>
  </si>
  <si>
    <t>PRD152</t>
  </si>
  <si>
    <t>Phone Tripod Stand</t>
  </si>
  <si>
    <t>PRD153</t>
  </si>
  <si>
    <t>Wi-Fi Range Extender</t>
  </si>
  <si>
    <t>PRD154</t>
  </si>
  <si>
    <t>Car Phone Holder</t>
  </si>
  <si>
    <t>PRD155</t>
  </si>
  <si>
    <t>Wireless Charging Pad</t>
  </si>
  <si>
    <t>PRD156</t>
  </si>
  <si>
    <t>Almonds 500g</t>
  </si>
  <si>
    <t>PRD157</t>
  </si>
  <si>
    <t>Mustard Oil 1L</t>
  </si>
  <si>
    <t>PRD158</t>
  </si>
  <si>
    <t>Besan 1kg</t>
  </si>
  <si>
    <t>PRD159</t>
  </si>
  <si>
    <t>Masala Chai 500g</t>
  </si>
  <si>
    <t>PRD160</t>
  </si>
  <si>
    <t>Desi Ghee 500ml</t>
  </si>
  <si>
    <t>PRD161</t>
  </si>
  <si>
    <t>Sketch Pens Set</t>
  </si>
  <si>
    <t>PRD162</t>
  </si>
  <si>
    <t>Fountain Pen</t>
  </si>
  <si>
    <t>PRD163</t>
  </si>
  <si>
    <t>Clipboard A4</t>
  </si>
  <si>
    <t>PRD164</t>
  </si>
  <si>
    <t>Idli Maker 4-Plate</t>
  </si>
  <si>
    <t>PRD165</t>
  </si>
  <si>
    <t>Electric Kettle 1.5L</t>
  </si>
  <si>
    <t>PRD166</t>
  </si>
  <si>
    <t>Nonstick Tawa</t>
  </si>
  <si>
    <t>PRD167</t>
  </si>
  <si>
    <t>Cotton Bedsheet Double</t>
  </si>
  <si>
    <t>PRD168</t>
  </si>
  <si>
    <t>Kitchen Weighing Scale</t>
  </si>
  <si>
    <t>PRD169</t>
  </si>
  <si>
    <t>Face Serum 30ml</t>
  </si>
  <si>
    <t>PRD170</t>
  </si>
  <si>
    <t>Beard Trimmer</t>
  </si>
  <si>
    <t>PRD171</t>
  </si>
  <si>
    <t>Hair Brush</t>
  </si>
  <si>
    <t>PRD172</t>
  </si>
  <si>
    <t>Body Wash 250ml</t>
  </si>
  <si>
    <t>PRD173</t>
  </si>
  <si>
    <t>Cricket Bat Kashmir Willow</t>
  </si>
  <si>
    <t>PRD174</t>
  </si>
  <si>
    <t>Gym Shaker Bottle</t>
  </si>
  <si>
    <t>PRD175</t>
  </si>
  <si>
    <t>Ankle Weights 1kg Pair</t>
  </si>
  <si>
    <t>PRD176</t>
  </si>
  <si>
    <t>Atomic Habits</t>
  </si>
  <si>
    <t>PRD177</t>
  </si>
  <si>
    <t>The Alchemist</t>
  </si>
  <si>
    <t>PRD178</t>
  </si>
  <si>
    <t>Rich Dad Poor Dad</t>
  </si>
  <si>
    <t>PRD179</t>
  </si>
  <si>
    <t>Wings of Fire</t>
  </si>
  <si>
    <t>PRD180</t>
  </si>
  <si>
    <t>Ikigai</t>
  </si>
  <si>
    <t>PRD181</t>
  </si>
  <si>
    <t>The Psychology of Money</t>
  </si>
  <si>
    <t>PRD182</t>
  </si>
  <si>
    <t>Think and Grow Rich</t>
  </si>
  <si>
    <t>PRD183</t>
  </si>
  <si>
    <t>Deep Work</t>
  </si>
  <si>
    <t>PRD184</t>
  </si>
  <si>
    <t>Zero to One</t>
  </si>
  <si>
    <t>PRD185</t>
  </si>
  <si>
    <t>The Monk Who Sold His Ferrari</t>
  </si>
  <si>
    <t>PRD186</t>
  </si>
  <si>
    <t>Objective General Knowledge 2026</t>
  </si>
  <si>
    <t>PRD187</t>
  </si>
  <si>
    <t>Concepts of Physics Vol 1</t>
  </si>
  <si>
    <t>PRD188</t>
  </si>
  <si>
    <t>Panchatantra Stories</t>
  </si>
  <si>
    <t>PRD189</t>
  </si>
  <si>
    <t>Amar Chitra Katha Ramayana</t>
  </si>
  <si>
    <t>PRD190</t>
  </si>
  <si>
    <t>Malgudi Days</t>
  </si>
  <si>
    <t>PRD191</t>
  </si>
  <si>
    <t>Diary of a Wimpy Kid</t>
  </si>
  <si>
    <t>PRD192</t>
  </si>
  <si>
    <t>Sudoku Puzzle Book</t>
  </si>
  <si>
    <t>PRD193</t>
  </si>
  <si>
    <t>Colouring Book for Kids</t>
  </si>
  <si>
    <t>PRD194</t>
  </si>
  <si>
    <t>Wren &amp; Martin English Grammar</t>
  </si>
  <si>
    <t>PRD195</t>
  </si>
  <si>
    <t>Indian Polity by Laxmikanth</t>
  </si>
  <si>
    <t>PRD196</t>
  </si>
  <si>
    <t>Python Programming for Beginners</t>
  </si>
  <si>
    <t>PRD197</t>
  </si>
  <si>
    <t>Magnetic Bookmark Set</t>
  </si>
  <si>
    <t>PRD198</t>
  </si>
  <si>
    <t>Clip-on Reading Light</t>
  </si>
  <si>
    <t>PRD199</t>
  </si>
  <si>
    <t>Alphabet Flash Cards</t>
  </si>
  <si>
    <t>PRD200</t>
  </si>
  <si>
    <t>Bhagavad Gita Hindi-English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</si>
</sst>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.00"/>
    <numFmt numFmtId="165" formatCode="dd\-mmm\-yyyy"/>
  </numFmts>
  <fonts count="6">
    <font>
      <sz val="11.0"/>
      <color theme="1"/>
      <name val="Calibri"/>
      <scheme val="minor"/>
    </font>
    <font>
      <b/>
      <sz val="11.0"/>
      <color rgb="FFFFFFFF"/>
      <name val="Cambria"/>
    </font>
    <font>
      <b/>
      <sz val="14.0"/>
      <color rgb="FFFFFFFF"/>
      <name val="Cambria"/>
    </font>
    <font/>
    <font>
      <sz val="11.0"/>
      <color theme="1"/>
      <name val="Calibri"/>
    </font>
    <font>
      <b/>
      <sz val="11.0"/>
      <color rgb="FF1F4E78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shrinkToFit="0" vertical="center" wrapText="0"/>
    </xf>
    <xf borderId="3" fillId="0" fontId="3" numFmtId="0" xfId="0" applyBorder="1" applyFont="1"/>
    <xf borderId="4" fillId="0" fontId="4" numFmtId="0" xfId="0" applyAlignment="1" applyBorder="1" applyFont="1">
      <alignment shrinkToFit="0" vertical="top" wrapText="0"/>
    </xf>
    <xf borderId="4" fillId="0" fontId="5" numFmtId="0" xfId="0" applyAlignment="1" applyBorder="1" applyFont="1">
      <alignment shrinkToFit="0" vertical="top" wrapText="0"/>
    </xf>
    <xf borderId="4" fillId="0" fontId="4" numFmtId="0" xfId="0" applyAlignment="1" applyBorder="1" applyFont="1">
      <alignment shrinkToFit="0" vertical="top" wrapText="1"/>
    </xf>
    <xf borderId="4" fillId="0" fontId="4" numFmtId="164" xfId="0" applyAlignment="1" applyBorder="1" applyFont="1" applyNumberFormat="1">
      <alignment shrinkToFit="0" vertical="top" wrapText="0"/>
    </xf>
    <xf borderId="4" fillId="0" fontId="4" numFmtId="1" xfId="0" applyAlignment="1" applyBorder="1" applyFont="1" applyNumberFormat="1">
      <alignment shrinkToFit="0" vertical="top" wrapText="0"/>
    </xf>
    <xf borderId="4" fillId="0" fontId="4" numFmtId="165" xfId="0" applyAlignment="1" applyBorder="1" applyFont="1" applyNumberFormat="1">
      <alignment shrinkToFit="0" vertical="top" wrapText="0"/>
    </xf>
  </cellXfs>
  <cellStyles count="1">
    <cellStyle xfId="0" name="Normal" builtinId="0"/>
  </cellStyles>
  <dxfs count="3"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7.0"/>
    <col customWidth="1" min="3" max="3" width="20.0"/>
    <col customWidth="1" min="4" max="4" width="13.0"/>
    <col customWidth="1" min="5" max="5" width="25.0"/>
    <col customWidth="1" min="6" max="6" width="18.0"/>
    <col customWidth="1" min="7" max="7" width="15.0"/>
    <col customWidth="1" min="8" max="8" width="17.0"/>
    <col customWidth="1" min="9" max="9" width="18.0"/>
    <col customWidth="1" min="10" max="10" width="20.0"/>
    <col customWidth="1" min="11" max="11" width="17.0"/>
    <col customWidth="1" min="12" max="12" width="18.0"/>
    <col customWidth="1" min="13" max="14" width="19.0"/>
    <col customWidth="1" min="15" max="26" width="8.71"/>
  </cols>
  <sheetData>
    <row r="1" ht="31.5" customHeight="1">
      <c r="A1" s="1" t="s">
        <v>0</v>
      </c>
      <c r="B1" s="1" t="s">
        <v>3</v>
      </c>
      <c r="C1" s="1" t="s">
        <v>4</v>
      </c>
      <c r="D1" s="1" t="s">
        <v>2</v>
      </c>
      <c r="E1" s="1" t="s">
        <v>14</v>
      </c>
      <c r="F1" s="1" t="s">
        <v>17</v>
      </c>
      <c r="G1" s="1" t="s">
        <v>20</v>
      </c>
      <c r="H1" s="1" t="s">
        <v>31</v>
      </c>
      <c r="I1" s="1" t="s">
        <v>37</v>
      </c>
      <c r="J1" s="1" t="s">
        <v>42</v>
      </c>
      <c r="K1" s="1" t="s">
        <v>10</v>
      </c>
      <c r="L1" s="1" t="s">
        <v>38</v>
      </c>
      <c r="M1" s="1" t="s">
        <v>46</v>
      </c>
      <c r="N1" s="1" t="s">
        <v>56</v>
      </c>
    </row>
    <row r="2">
      <c r="A2" s="4" t="s">
        <v>9</v>
      </c>
      <c r="B2" s="4" t="s">
        <v>13</v>
      </c>
      <c r="C2" s="4" t="s">
        <v>15</v>
      </c>
      <c r="D2" s="4" t="s">
        <v>16</v>
      </c>
      <c r="E2" s="4" t="str">
        <f>IFERROR(VLOOKUP(D2,'Supplier Master'!$A$2:$F$16,2,FALSE()),"Supplier not found")</f>
        <v>Apex Wholesale</v>
      </c>
      <c r="F2" s="8">
        <v>28.0</v>
      </c>
      <c r="G2" s="8">
        <v>51.0</v>
      </c>
      <c r="H2" s="7">
        <v>499.0</v>
      </c>
      <c r="I2" s="7">
        <f t="shared" ref="I2:I201" si="1">IFERROR(F2*H2,0)</f>
        <v>13972</v>
      </c>
      <c r="J2" s="9">
        <v>46287.0</v>
      </c>
      <c r="K2" s="8">
        <f>IFERROR(VLOOKUP(D2,'Supplier Master'!$A$2:$F$16,5,FALSE()),0)</f>
        <v>3</v>
      </c>
      <c r="L2" s="4" t="str">
        <f t="shared" ref="L2:L201" si="2">IFS(F2=0,"Out of Stock",F2&lt;G2,"Low Stock",TRUE(),"In Stock")</f>
        <v>Low Stock</v>
      </c>
      <c r="M2" s="8">
        <f t="shared" ref="M2:M201" si="3">IF(F2&lt;G2,MAX(0,G2*2-F2),0)</f>
        <v>74</v>
      </c>
      <c r="N2" s="8">
        <f t="shared" ref="N2:N201" si="4">TODAY()-J2</f>
        <v>36</v>
      </c>
    </row>
    <row r="3">
      <c r="A3" s="4" t="s">
        <v>22</v>
      </c>
      <c r="B3" s="4" t="s">
        <v>23</v>
      </c>
      <c r="C3" s="4" t="s">
        <v>15</v>
      </c>
      <c r="D3" s="4" t="s">
        <v>25</v>
      </c>
      <c r="E3" s="4" t="str">
        <f>IFERROR(VLOOKUP(D3,'Supplier Master'!$A$2:$F$16,2,FALSE()),"Supplier not found")</f>
        <v>GoldenGate Supplies</v>
      </c>
      <c r="F3" s="8">
        <v>46.0</v>
      </c>
      <c r="G3" s="8">
        <v>13.0</v>
      </c>
      <c r="H3" s="7">
        <v>1499.0</v>
      </c>
      <c r="I3" s="7">
        <f t="shared" si="1"/>
        <v>68954</v>
      </c>
      <c r="J3" s="9">
        <v>46319.0</v>
      </c>
      <c r="K3" s="8">
        <f>IFERROR(VLOOKUP(D3,'Supplier Master'!$A$2:$F$16,5,FALSE()),0)</f>
        <v>6</v>
      </c>
      <c r="L3" s="4" t="str">
        <f t="shared" si="2"/>
        <v>In Stock</v>
      </c>
      <c r="M3" s="8">
        <f t="shared" si="3"/>
        <v>0</v>
      </c>
      <c r="N3" s="8">
        <f t="shared" si="4"/>
        <v>4</v>
      </c>
    </row>
    <row r="4">
      <c r="A4" s="4" t="s">
        <v>27</v>
      </c>
      <c r="B4" s="4" t="s">
        <v>28</v>
      </c>
      <c r="C4" s="4" t="s">
        <v>15</v>
      </c>
      <c r="D4" s="4" t="s">
        <v>25</v>
      </c>
      <c r="E4" s="4" t="str">
        <f>IFERROR(VLOOKUP(D4,'Supplier Master'!$A$2:$F$16,2,FALSE()),"Supplier not found")</f>
        <v>GoldenGate Supplies</v>
      </c>
      <c r="F4" s="8">
        <v>0.0</v>
      </c>
      <c r="G4" s="8">
        <v>29.0</v>
      </c>
      <c r="H4" s="7">
        <v>249.0</v>
      </c>
      <c r="I4" s="7">
        <f t="shared" si="1"/>
        <v>0</v>
      </c>
      <c r="J4" s="9">
        <v>46234.0</v>
      </c>
      <c r="K4" s="8">
        <f>IFERROR(VLOOKUP(D4,'Supplier Master'!$A$2:$F$16,5,FALSE()),0)</f>
        <v>6</v>
      </c>
      <c r="L4" s="4" t="str">
        <f t="shared" si="2"/>
        <v>Out of Stock</v>
      </c>
      <c r="M4" s="8">
        <f t="shared" si="3"/>
        <v>58</v>
      </c>
      <c r="N4" s="8">
        <f t="shared" si="4"/>
        <v>89</v>
      </c>
    </row>
    <row r="5">
      <c r="A5" s="4" t="s">
        <v>35</v>
      </c>
      <c r="B5" s="4" t="s">
        <v>36</v>
      </c>
      <c r="C5" s="4" t="s">
        <v>15</v>
      </c>
      <c r="D5" s="4" t="s">
        <v>39</v>
      </c>
      <c r="E5" s="4" t="str">
        <f>IFERROR(VLOOKUP(D5,'Supplier Master'!$A$2:$F$16,2,FALSE()),"Supplier not found")</f>
        <v>BluePeak Distributors</v>
      </c>
      <c r="F5" s="8">
        <v>8.0</v>
      </c>
      <c r="G5" s="8">
        <v>25.0</v>
      </c>
      <c r="H5" s="7">
        <v>699.0</v>
      </c>
      <c r="I5" s="7">
        <f t="shared" si="1"/>
        <v>5592</v>
      </c>
      <c r="J5" s="9">
        <v>46194.0</v>
      </c>
      <c r="K5" s="8">
        <f>IFERROR(VLOOKUP(D5,'Supplier Master'!$A$2:$F$16,5,FALSE()),0)</f>
        <v>5</v>
      </c>
      <c r="L5" s="4" t="str">
        <f t="shared" si="2"/>
        <v>Low Stock</v>
      </c>
      <c r="M5" s="8">
        <f t="shared" si="3"/>
        <v>42</v>
      </c>
      <c r="N5" s="8">
        <f t="shared" si="4"/>
        <v>129</v>
      </c>
    </row>
    <row r="6">
      <c r="A6" s="4" t="s">
        <v>44</v>
      </c>
      <c r="B6" s="4" t="s">
        <v>45</v>
      </c>
      <c r="C6" s="4" t="s">
        <v>15</v>
      </c>
      <c r="D6" s="4" t="s">
        <v>48</v>
      </c>
      <c r="E6" s="4" t="str">
        <f>IFERROR(VLOOKUP(D6,'Supplier Master'!$A$2:$F$16,2,FALSE()),"Supplier not found")</f>
        <v>Delta Retail Partners</v>
      </c>
      <c r="F6" s="8">
        <v>140.0</v>
      </c>
      <c r="G6" s="8">
        <v>51.0</v>
      </c>
      <c r="H6" s="7">
        <v>1299.0</v>
      </c>
      <c r="I6" s="7">
        <f t="shared" si="1"/>
        <v>181860</v>
      </c>
      <c r="J6" s="9">
        <v>46226.0</v>
      </c>
      <c r="K6" s="8">
        <f>IFERROR(VLOOKUP(D6,'Supplier Master'!$A$2:$F$16,5,FALSE()),0)</f>
        <v>7</v>
      </c>
      <c r="L6" s="4" t="str">
        <f t="shared" si="2"/>
        <v>In Stock</v>
      </c>
      <c r="M6" s="8">
        <f t="shared" si="3"/>
        <v>0</v>
      </c>
      <c r="N6" s="8">
        <f t="shared" si="4"/>
        <v>97</v>
      </c>
    </row>
    <row r="7">
      <c r="A7" s="4" t="s">
        <v>53</v>
      </c>
      <c r="B7" s="4" t="s">
        <v>54</v>
      </c>
      <c r="C7" s="4" t="s">
        <v>15</v>
      </c>
      <c r="D7" s="4" t="s">
        <v>16</v>
      </c>
      <c r="E7" s="4" t="str">
        <f>IFERROR(VLOOKUP(D7,'Supplier Master'!$A$2:$F$16,2,FALSE()),"Supplier not found")</f>
        <v>Apex Wholesale</v>
      </c>
      <c r="F7" s="8">
        <v>84.0</v>
      </c>
      <c r="G7" s="8">
        <v>31.0</v>
      </c>
      <c r="H7" s="7">
        <v>599.0</v>
      </c>
      <c r="I7" s="7">
        <f t="shared" si="1"/>
        <v>50316</v>
      </c>
      <c r="J7" s="9">
        <v>46194.0</v>
      </c>
      <c r="K7" s="8">
        <f>IFERROR(VLOOKUP(D7,'Supplier Master'!$A$2:$F$16,5,FALSE()),0)</f>
        <v>3</v>
      </c>
      <c r="L7" s="4" t="str">
        <f t="shared" si="2"/>
        <v>In Stock</v>
      </c>
      <c r="M7" s="8">
        <f t="shared" si="3"/>
        <v>0</v>
      </c>
      <c r="N7" s="8">
        <f t="shared" si="4"/>
        <v>129</v>
      </c>
    </row>
    <row r="8">
      <c r="A8" s="4" t="s">
        <v>58</v>
      </c>
      <c r="B8" s="4" t="s">
        <v>61</v>
      </c>
      <c r="C8" s="4" t="s">
        <v>15</v>
      </c>
      <c r="D8" s="4" t="s">
        <v>64</v>
      </c>
      <c r="E8" s="4" t="str">
        <f>IFERROR(VLOOKUP(D8,'Supplier Master'!$A$2:$F$16,2,FALSE()),"Supplier not found")</f>
        <v>Indigo Industrial Supply</v>
      </c>
      <c r="F8" s="8">
        <v>130.0</v>
      </c>
      <c r="G8" s="8">
        <v>39.0</v>
      </c>
      <c r="H8" s="7">
        <v>1799.0</v>
      </c>
      <c r="I8" s="7">
        <f t="shared" si="1"/>
        <v>233870</v>
      </c>
      <c r="J8" s="9">
        <v>46288.0</v>
      </c>
      <c r="K8" s="8">
        <f>IFERROR(VLOOKUP(D8,'Supplier Master'!$A$2:$F$16,5,FALSE()),0)</f>
        <v>8</v>
      </c>
      <c r="L8" s="4" t="str">
        <f t="shared" si="2"/>
        <v>In Stock</v>
      </c>
      <c r="M8" s="8">
        <f t="shared" si="3"/>
        <v>0</v>
      </c>
      <c r="N8" s="8">
        <f t="shared" si="4"/>
        <v>35</v>
      </c>
    </row>
    <row r="9">
      <c r="A9" s="4" t="s">
        <v>68</v>
      </c>
      <c r="B9" s="4" t="s">
        <v>69</v>
      </c>
      <c r="C9" s="4" t="s">
        <v>15</v>
      </c>
      <c r="D9" s="4" t="s">
        <v>25</v>
      </c>
      <c r="E9" s="4" t="str">
        <f>IFERROR(VLOOKUP(D9,'Supplier Master'!$A$2:$F$16,2,FALSE()),"Supplier not found")</f>
        <v>GoldenGate Supplies</v>
      </c>
      <c r="F9" s="8">
        <v>162.0</v>
      </c>
      <c r="G9" s="8">
        <v>57.0</v>
      </c>
      <c r="H9" s="7">
        <v>999.0</v>
      </c>
      <c r="I9" s="7">
        <f t="shared" si="1"/>
        <v>161838</v>
      </c>
      <c r="J9" s="9">
        <v>46243.0</v>
      </c>
      <c r="K9" s="8">
        <f>IFERROR(VLOOKUP(D9,'Supplier Master'!$A$2:$F$16,5,FALSE()),0)</f>
        <v>6</v>
      </c>
      <c r="L9" s="4" t="str">
        <f t="shared" si="2"/>
        <v>In Stock</v>
      </c>
      <c r="M9" s="8">
        <f t="shared" si="3"/>
        <v>0</v>
      </c>
      <c r="N9" s="8">
        <f t="shared" si="4"/>
        <v>80</v>
      </c>
    </row>
    <row r="10">
      <c r="A10" s="4" t="s">
        <v>75</v>
      </c>
      <c r="B10" s="4" t="s">
        <v>77</v>
      </c>
      <c r="C10" s="4" t="s">
        <v>15</v>
      </c>
      <c r="D10" s="4" t="s">
        <v>39</v>
      </c>
      <c r="E10" s="4" t="str">
        <f>IFERROR(VLOOKUP(D10,'Supplier Master'!$A$2:$F$16,2,FALSE()),"Supplier not found")</f>
        <v>BluePeak Distributors</v>
      </c>
      <c r="F10" s="8">
        <v>20.0</v>
      </c>
      <c r="G10" s="8">
        <v>33.0</v>
      </c>
      <c r="H10" s="7">
        <v>349.0</v>
      </c>
      <c r="I10" s="7">
        <f t="shared" si="1"/>
        <v>6980</v>
      </c>
      <c r="J10" s="9">
        <v>46211.0</v>
      </c>
      <c r="K10" s="8">
        <f>IFERROR(VLOOKUP(D10,'Supplier Master'!$A$2:$F$16,5,FALSE()),0)</f>
        <v>5</v>
      </c>
      <c r="L10" s="4" t="str">
        <f t="shared" si="2"/>
        <v>Low Stock</v>
      </c>
      <c r="M10" s="8">
        <f t="shared" si="3"/>
        <v>46</v>
      </c>
      <c r="N10" s="8">
        <f t="shared" si="4"/>
        <v>112</v>
      </c>
    </row>
    <row r="11">
      <c r="A11" s="4" t="s">
        <v>81</v>
      </c>
      <c r="B11" s="4" t="s">
        <v>83</v>
      </c>
      <c r="C11" s="4" t="s">
        <v>15</v>
      </c>
      <c r="D11" s="4" t="s">
        <v>48</v>
      </c>
      <c r="E11" s="4" t="str">
        <f>IFERROR(VLOOKUP(D11,'Supplier Master'!$A$2:$F$16,2,FALSE()),"Supplier not found")</f>
        <v>Delta Retail Partners</v>
      </c>
      <c r="F11" s="8">
        <v>22.0</v>
      </c>
      <c r="G11" s="8">
        <v>29.0</v>
      </c>
      <c r="H11" s="7">
        <v>799.0</v>
      </c>
      <c r="I11" s="7">
        <f t="shared" si="1"/>
        <v>17578</v>
      </c>
      <c r="J11" s="9">
        <v>46118.0</v>
      </c>
      <c r="K11" s="8">
        <f>IFERROR(VLOOKUP(D11,'Supplier Master'!$A$2:$F$16,5,FALSE()),0)</f>
        <v>7</v>
      </c>
      <c r="L11" s="4" t="str">
        <f t="shared" si="2"/>
        <v>Low Stock</v>
      </c>
      <c r="M11" s="8">
        <f t="shared" si="3"/>
        <v>36</v>
      </c>
      <c r="N11" s="8">
        <f t="shared" si="4"/>
        <v>205</v>
      </c>
    </row>
    <row r="12">
      <c r="A12" s="4" t="s">
        <v>88</v>
      </c>
      <c r="B12" s="4" t="s">
        <v>89</v>
      </c>
      <c r="C12" s="4" t="s">
        <v>15</v>
      </c>
      <c r="D12" s="4" t="s">
        <v>48</v>
      </c>
      <c r="E12" s="4" t="str">
        <f>IFERROR(VLOOKUP(D12,'Supplier Master'!$A$2:$F$16,2,FALSE()),"Supplier not found")</f>
        <v>Delta Retail Partners</v>
      </c>
      <c r="F12" s="8">
        <v>0.0</v>
      </c>
      <c r="G12" s="8">
        <v>28.0</v>
      </c>
      <c r="H12" s="7">
        <v>599.0</v>
      </c>
      <c r="I12" s="7">
        <f t="shared" si="1"/>
        <v>0</v>
      </c>
      <c r="J12" s="9">
        <v>46243.0</v>
      </c>
      <c r="K12" s="8">
        <f>IFERROR(VLOOKUP(D12,'Supplier Master'!$A$2:$F$16,5,FALSE()),0)</f>
        <v>7</v>
      </c>
      <c r="L12" s="4" t="str">
        <f t="shared" si="2"/>
        <v>Out of Stock</v>
      </c>
      <c r="M12" s="8">
        <f t="shared" si="3"/>
        <v>56</v>
      </c>
      <c r="N12" s="8">
        <f t="shared" si="4"/>
        <v>80</v>
      </c>
    </row>
    <row r="13">
      <c r="A13" s="4" t="s">
        <v>95</v>
      </c>
      <c r="B13" s="4" t="s">
        <v>97</v>
      </c>
      <c r="C13" s="4" t="s">
        <v>15</v>
      </c>
      <c r="D13" s="4" t="s">
        <v>64</v>
      </c>
      <c r="E13" s="4" t="str">
        <f>IFERROR(VLOOKUP(D13,'Supplier Master'!$A$2:$F$16,2,FALSE()),"Supplier not found")</f>
        <v>Indigo Industrial Supply</v>
      </c>
      <c r="F13" s="8">
        <v>62.0</v>
      </c>
      <c r="G13" s="8">
        <v>65.0</v>
      </c>
      <c r="H13" s="7">
        <v>5499.0</v>
      </c>
      <c r="I13" s="7">
        <f t="shared" si="1"/>
        <v>340938</v>
      </c>
      <c r="J13" s="9">
        <v>46081.0</v>
      </c>
      <c r="K13" s="8">
        <f>IFERROR(VLOOKUP(D13,'Supplier Master'!$A$2:$F$16,5,FALSE()),0)</f>
        <v>8</v>
      </c>
      <c r="L13" s="4" t="str">
        <f t="shared" si="2"/>
        <v>Low Stock</v>
      </c>
      <c r="M13" s="8">
        <f t="shared" si="3"/>
        <v>68</v>
      </c>
      <c r="N13" s="8">
        <f t="shared" si="4"/>
        <v>242</v>
      </c>
    </row>
    <row r="14">
      <c r="A14" s="4" t="s">
        <v>103</v>
      </c>
      <c r="B14" s="4" t="s">
        <v>104</v>
      </c>
      <c r="C14" s="4" t="s">
        <v>15</v>
      </c>
      <c r="D14" s="4" t="s">
        <v>48</v>
      </c>
      <c r="E14" s="4" t="str">
        <f>IFERROR(VLOOKUP(D14,'Supplier Master'!$A$2:$F$16,2,FALSE()),"Supplier not found")</f>
        <v>Delta Retail Partners</v>
      </c>
      <c r="F14" s="8">
        <v>2.0</v>
      </c>
      <c r="G14" s="8">
        <v>20.0</v>
      </c>
      <c r="H14" s="7">
        <v>1699.0</v>
      </c>
      <c r="I14" s="7">
        <f t="shared" si="1"/>
        <v>3398</v>
      </c>
      <c r="J14" s="9">
        <v>46001.0</v>
      </c>
      <c r="K14" s="8">
        <f>IFERROR(VLOOKUP(D14,'Supplier Master'!$A$2:$F$16,5,FALSE()),0)</f>
        <v>7</v>
      </c>
      <c r="L14" s="4" t="str">
        <f t="shared" si="2"/>
        <v>Low Stock</v>
      </c>
      <c r="M14" s="8">
        <f t="shared" si="3"/>
        <v>38</v>
      </c>
      <c r="N14" s="8">
        <f t="shared" si="4"/>
        <v>322</v>
      </c>
    </row>
    <row r="15">
      <c r="A15" s="4" t="s">
        <v>107</v>
      </c>
      <c r="B15" s="4" t="s">
        <v>109</v>
      </c>
      <c r="C15" s="4" t="s">
        <v>15</v>
      </c>
      <c r="D15" s="4" t="s">
        <v>39</v>
      </c>
      <c r="E15" s="4" t="str">
        <f>IFERROR(VLOOKUP(D15,'Supplier Master'!$A$2:$F$16,2,FALSE()),"Supplier not found")</f>
        <v>BluePeak Distributors</v>
      </c>
      <c r="F15" s="8">
        <v>16.0</v>
      </c>
      <c r="G15" s="8">
        <v>22.0</v>
      </c>
      <c r="H15" s="7">
        <v>899.0</v>
      </c>
      <c r="I15" s="7">
        <f t="shared" si="1"/>
        <v>14384</v>
      </c>
      <c r="J15" s="9">
        <v>46145.0</v>
      </c>
      <c r="K15" s="8">
        <f>IFERROR(VLOOKUP(D15,'Supplier Master'!$A$2:$F$16,5,FALSE()),0)</f>
        <v>5</v>
      </c>
      <c r="L15" s="4" t="str">
        <f t="shared" si="2"/>
        <v>Low Stock</v>
      </c>
      <c r="M15" s="8">
        <f t="shared" si="3"/>
        <v>28</v>
      </c>
      <c r="N15" s="8">
        <f t="shared" si="4"/>
        <v>178</v>
      </c>
    </row>
    <row r="16">
      <c r="A16" s="4" t="s">
        <v>113</v>
      </c>
      <c r="B16" s="4" t="s">
        <v>116</v>
      </c>
      <c r="C16" s="4" t="s">
        <v>15</v>
      </c>
      <c r="D16" s="4" t="s">
        <v>39</v>
      </c>
      <c r="E16" s="4" t="str">
        <f>IFERROR(VLOOKUP(D16,'Supplier Master'!$A$2:$F$16,2,FALSE()),"Supplier not found")</f>
        <v>BluePeak Distributors</v>
      </c>
      <c r="F16" s="8">
        <v>28.0</v>
      </c>
      <c r="G16" s="8">
        <v>62.0</v>
      </c>
      <c r="H16" s="7">
        <v>449.0</v>
      </c>
      <c r="I16" s="7">
        <f t="shared" si="1"/>
        <v>12572</v>
      </c>
      <c r="J16" s="9">
        <v>46145.0</v>
      </c>
      <c r="K16" s="8">
        <f>IFERROR(VLOOKUP(D16,'Supplier Master'!$A$2:$F$16,5,FALSE()),0)</f>
        <v>5</v>
      </c>
      <c r="L16" s="4" t="str">
        <f t="shared" si="2"/>
        <v>Low Stock</v>
      </c>
      <c r="M16" s="8">
        <f t="shared" si="3"/>
        <v>96</v>
      </c>
      <c r="N16" s="8">
        <f t="shared" si="4"/>
        <v>178</v>
      </c>
    </row>
    <row r="17">
      <c r="A17" s="4" t="s">
        <v>119</v>
      </c>
      <c r="B17" s="4" t="s">
        <v>121</v>
      </c>
      <c r="C17" s="4" t="s">
        <v>15</v>
      </c>
      <c r="D17" s="4" t="s">
        <v>25</v>
      </c>
      <c r="E17" s="4" t="str">
        <f>IFERROR(VLOOKUP(D17,'Supplier Master'!$A$2:$F$16,2,FALSE()),"Supplier not found")</f>
        <v>GoldenGate Supplies</v>
      </c>
      <c r="F17" s="8">
        <v>21.0</v>
      </c>
      <c r="G17" s="8">
        <v>27.0</v>
      </c>
      <c r="H17" s="7">
        <v>599.0</v>
      </c>
      <c r="I17" s="7">
        <f t="shared" si="1"/>
        <v>12579</v>
      </c>
      <c r="J17" s="9">
        <v>46185.0</v>
      </c>
      <c r="K17" s="8">
        <f>IFERROR(VLOOKUP(D17,'Supplier Master'!$A$2:$F$16,5,FALSE()),0)</f>
        <v>6</v>
      </c>
      <c r="L17" s="4" t="str">
        <f t="shared" si="2"/>
        <v>Low Stock</v>
      </c>
      <c r="M17" s="8">
        <f t="shared" si="3"/>
        <v>33</v>
      </c>
      <c r="N17" s="8">
        <f t="shared" si="4"/>
        <v>138</v>
      </c>
    </row>
    <row r="18">
      <c r="A18" s="4" t="s">
        <v>127</v>
      </c>
      <c r="B18" s="4" t="s">
        <v>128</v>
      </c>
      <c r="C18" s="4" t="s">
        <v>15</v>
      </c>
      <c r="D18" s="4" t="s">
        <v>16</v>
      </c>
      <c r="E18" s="4" t="str">
        <f>IFERROR(VLOOKUP(D18,'Supplier Master'!$A$2:$F$16,2,FALSE()),"Supplier not found")</f>
        <v>Apex Wholesale</v>
      </c>
      <c r="F18" s="8">
        <v>54.0</v>
      </c>
      <c r="G18" s="8">
        <v>61.0</v>
      </c>
      <c r="H18" s="7">
        <v>799.0</v>
      </c>
      <c r="I18" s="7">
        <f t="shared" si="1"/>
        <v>43146</v>
      </c>
      <c r="J18" s="9">
        <v>46264.0</v>
      </c>
      <c r="K18" s="8">
        <f>IFERROR(VLOOKUP(D18,'Supplier Master'!$A$2:$F$16,5,FALSE()),0)</f>
        <v>3</v>
      </c>
      <c r="L18" s="4" t="str">
        <f t="shared" si="2"/>
        <v>Low Stock</v>
      </c>
      <c r="M18" s="8">
        <f t="shared" si="3"/>
        <v>68</v>
      </c>
      <c r="N18" s="8">
        <f t="shared" si="4"/>
        <v>59</v>
      </c>
    </row>
    <row r="19">
      <c r="A19" s="4" t="s">
        <v>132</v>
      </c>
      <c r="B19" s="4" t="s">
        <v>135</v>
      </c>
      <c r="C19" s="4" t="s">
        <v>15</v>
      </c>
      <c r="D19" s="4" t="s">
        <v>16</v>
      </c>
      <c r="E19" s="4" t="str">
        <f>IFERROR(VLOOKUP(D19,'Supplier Master'!$A$2:$F$16,2,FALSE()),"Supplier not found")</f>
        <v>Apex Wholesale</v>
      </c>
      <c r="F19" s="8">
        <v>7.0</v>
      </c>
      <c r="G19" s="8">
        <v>16.0</v>
      </c>
      <c r="H19" s="7">
        <v>1299.0</v>
      </c>
      <c r="I19" s="7">
        <f t="shared" si="1"/>
        <v>9093</v>
      </c>
      <c r="J19" s="9">
        <v>46279.0</v>
      </c>
      <c r="K19" s="8">
        <f>IFERROR(VLOOKUP(D19,'Supplier Master'!$A$2:$F$16,5,FALSE()),0)</f>
        <v>3</v>
      </c>
      <c r="L19" s="4" t="str">
        <f t="shared" si="2"/>
        <v>Low Stock</v>
      </c>
      <c r="M19" s="8">
        <f t="shared" si="3"/>
        <v>25</v>
      </c>
      <c r="N19" s="8">
        <f t="shared" si="4"/>
        <v>44</v>
      </c>
    </row>
    <row r="20">
      <c r="A20" s="4" t="s">
        <v>139</v>
      </c>
      <c r="B20" s="4" t="s">
        <v>142</v>
      </c>
      <c r="C20" s="4" t="s">
        <v>15</v>
      </c>
      <c r="D20" s="4" t="s">
        <v>16</v>
      </c>
      <c r="E20" s="4" t="str">
        <f>IFERROR(VLOOKUP(D20,'Supplier Master'!$A$2:$F$16,2,FALSE()),"Supplier not found")</f>
        <v>Apex Wholesale</v>
      </c>
      <c r="F20" s="8">
        <v>18.0</v>
      </c>
      <c r="G20" s="8">
        <v>54.0</v>
      </c>
      <c r="H20" s="7">
        <v>549.0</v>
      </c>
      <c r="I20" s="7">
        <f t="shared" si="1"/>
        <v>9882</v>
      </c>
      <c r="J20" s="9">
        <v>46110.0</v>
      </c>
      <c r="K20" s="8">
        <f>IFERROR(VLOOKUP(D20,'Supplier Master'!$A$2:$F$16,5,FALSE()),0)</f>
        <v>3</v>
      </c>
      <c r="L20" s="4" t="str">
        <f t="shared" si="2"/>
        <v>Low Stock</v>
      </c>
      <c r="M20" s="8">
        <f t="shared" si="3"/>
        <v>90</v>
      </c>
      <c r="N20" s="8">
        <f t="shared" si="4"/>
        <v>213</v>
      </c>
    </row>
    <row r="21" ht="15.75" customHeight="1">
      <c r="A21" s="4" t="s">
        <v>147</v>
      </c>
      <c r="B21" s="4" t="s">
        <v>149</v>
      </c>
      <c r="C21" s="4" t="s">
        <v>15</v>
      </c>
      <c r="D21" s="4" t="s">
        <v>64</v>
      </c>
      <c r="E21" s="4" t="str">
        <f>IFERROR(VLOOKUP(D21,'Supplier Master'!$A$2:$F$16,2,FALSE()),"Supplier not found")</f>
        <v>Indigo Industrial Supply</v>
      </c>
      <c r="F21" s="8">
        <v>24.0</v>
      </c>
      <c r="G21" s="8">
        <v>30.0</v>
      </c>
      <c r="H21" s="7">
        <v>849.0</v>
      </c>
      <c r="I21" s="7">
        <f t="shared" si="1"/>
        <v>20376</v>
      </c>
      <c r="J21" s="9">
        <v>46297.0</v>
      </c>
      <c r="K21" s="8">
        <f>IFERROR(VLOOKUP(D21,'Supplier Master'!$A$2:$F$16,5,FALSE()),0)</f>
        <v>8</v>
      </c>
      <c r="L21" s="4" t="str">
        <f t="shared" si="2"/>
        <v>Low Stock</v>
      </c>
      <c r="M21" s="8">
        <f t="shared" si="3"/>
        <v>36</v>
      </c>
      <c r="N21" s="8">
        <f t="shared" si="4"/>
        <v>26</v>
      </c>
    </row>
    <row r="22" ht="15.75" customHeight="1">
      <c r="A22" s="4" t="s">
        <v>155</v>
      </c>
      <c r="B22" s="4" t="s">
        <v>157</v>
      </c>
      <c r="C22" s="4" t="s">
        <v>15</v>
      </c>
      <c r="D22" s="4" t="s">
        <v>64</v>
      </c>
      <c r="E22" s="4" t="str">
        <f>IFERROR(VLOOKUP(D22,'Supplier Master'!$A$2:$F$16,2,FALSE()),"Supplier not found")</f>
        <v>Indigo Industrial Supply</v>
      </c>
      <c r="F22" s="8">
        <v>10.0</v>
      </c>
      <c r="G22" s="8">
        <v>24.0</v>
      </c>
      <c r="H22" s="7">
        <v>1199.0</v>
      </c>
      <c r="I22" s="7">
        <f t="shared" si="1"/>
        <v>11990</v>
      </c>
      <c r="J22" s="9">
        <v>46138.0</v>
      </c>
      <c r="K22" s="8">
        <f>IFERROR(VLOOKUP(D22,'Supplier Master'!$A$2:$F$16,5,FALSE()),0)</f>
        <v>8</v>
      </c>
      <c r="L22" s="4" t="str">
        <f t="shared" si="2"/>
        <v>Low Stock</v>
      </c>
      <c r="M22" s="8">
        <f t="shared" si="3"/>
        <v>38</v>
      </c>
      <c r="N22" s="8">
        <f t="shared" si="4"/>
        <v>185</v>
      </c>
    </row>
    <row r="23" ht="15.75" customHeight="1">
      <c r="A23" s="4" t="s">
        <v>162</v>
      </c>
      <c r="B23" s="4" t="s">
        <v>164</v>
      </c>
      <c r="C23" s="4" t="s">
        <v>15</v>
      </c>
      <c r="D23" s="4" t="s">
        <v>25</v>
      </c>
      <c r="E23" s="4" t="str">
        <f>IFERROR(VLOOKUP(D23,'Supplier Master'!$A$2:$F$16,2,FALSE()),"Supplier not found")</f>
        <v>GoldenGate Supplies</v>
      </c>
      <c r="F23" s="8">
        <v>7.0</v>
      </c>
      <c r="G23" s="8">
        <v>13.0</v>
      </c>
      <c r="H23" s="7">
        <v>99.0</v>
      </c>
      <c r="I23" s="7">
        <f t="shared" si="1"/>
        <v>693</v>
      </c>
      <c r="J23" s="9">
        <v>46301.0</v>
      </c>
      <c r="K23" s="8">
        <f>IFERROR(VLOOKUP(D23,'Supplier Master'!$A$2:$F$16,5,FALSE()),0)</f>
        <v>6</v>
      </c>
      <c r="L23" s="4" t="str">
        <f t="shared" si="2"/>
        <v>Low Stock</v>
      </c>
      <c r="M23" s="8">
        <f t="shared" si="3"/>
        <v>19</v>
      </c>
      <c r="N23" s="8">
        <f t="shared" si="4"/>
        <v>22</v>
      </c>
    </row>
    <row r="24" ht="15.75" customHeight="1">
      <c r="A24" s="4" t="s">
        <v>168</v>
      </c>
      <c r="B24" s="4" t="s">
        <v>171</v>
      </c>
      <c r="C24" s="4" t="s">
        <v>15</v>
      </c>
      <c r="D24" s="4" t="s">
        <v>48</v>
      </c>
      <c r="E24" s="4" t="str">
        <f>IFERROR(VLOOKUP(D24,'Supplier Master'!$A$2:$F$16,2,FALSE()),"Supplier not found")</f>
        <v>Delta Retail Partners</v>
      </c>
      <c r="F24" s="8">
        <v>21.0</v>
      </c>
      <c r="G24" s="8">
        <v>41.0</v>
      </c>
      <c r="H24" s="7">
        <v>1199.0</v>
      </c>
      <c r="I24" s="7">
        <f t="shared" si="1"/>
        <v>25179</v>
      </c>
      <c r="J24" s="9">
        <v>46301.0</v>
      </c>
      <c r="K24" s="8">
        <f>IFERROR(VLOOKUP(D24,'Supplier Master'!$A$2:$F$16,5,FALSE()),0)</f>
        <v>7</v>
      </c>
      <c r="L24" s="4" t="str">
        <f t="shared" si="2"/>
        <v>Low Stock</v>
      </c>
      <c r="M24" s="8">
        <f t="shared" si="3"/>
        <v>61</v>
      </c>
      <c r="N24" s="8">
        <f t="shared" si="4"/>
        <v>22</v>
      </c>
    </row>
    <row r="25" ht="15.75" customHeight="1">
      <c r="A25" s="4" t="s">
        <v>174</v>
      </c>
      <c r="B25" s="4" t="s">
        <v>175</v>
      </c>
      <c r="C25" s="4" t="s">
        <v>15</v>
      </c>
      <c r="D25" s="4" t="s">
        <v>64</v>
      </c>
      <c r="E25" s="4" t="str">
        <f>IFERROR(VLOOKUP(D25,'Supplier Master'!$A$2:$F$16,2,FALSE()),"Supplier not found")</f>
        <v>Indigo Industrial Supply</v>
      </c>
      <c r="F25" s="8">
        <v>51.0</v>
      </c>
      <c r="G25" s="8">
        <v>64.0</v>
      </c>
      <c r="H25" s="7">
        <v>1499.0</v>
      </c>
      <c r="I25" s="7">
        <f t="shared" si="1"/>
        <v>76449</v>
      </c>
      <c r="J25" s="9">
        <v>46097.0</v>
      </c>
      <c r="K25" s="8">
        <f>IFERROR(VLOOKUP(D25,'Supplier Master'!$A$2:$F$16,5,FALSE()),0)</f>
        <v>8</v>
      </c>
      <c r="L25" s="4" t="str">
        <f t="shared" si="2"/>
        <v>Low Stock</v>
      </c>
      <c r="M25" s="8">
        <f t="shared" si="3"/>
        <v>77</v>
      </c>
      <c r="N25" s="8">
        <f t="shared" si="4"/>
        <v>226</v>
      </c>
    </row>
    <row r="26" ht="15.75" customHeight="1">
      <c r="A26" s="4" t="s">
        <v>176</v>
      </c>
      <c r="B26" s="4" t="s">
        <v>177</v>
      </c>
      <c r="C26" s="4" t="s">
        <v>15</v>
      </c>
      <c r="D26" s="4" t="s">
        <v>64</v>
      </c>
      <c r="E26" s="4" t="str">
        <f>IFERROR(VLOOKUP(D26,'Supplier Master'!$A$2:$F$16,2,FALSE()),"Supplier not found")</f>
        <v>Indigo Industrial Supply</v>
      </c>
      <c r="F26" s="8">
        <v>4.0</v>
      </c>
      <c r="G26" s="8">
        <v>40.0</v>
      </c>
      <c r="H26" s="7">
        <v>199.0</v>
      </c>
      <c r="I26" s="7">
        <f t="shared" si="1"/>
        <v>796</v>
      </c>
      <c r="J26" s="9">
        <v>46293.0</v>
      </c>
      <c r="K26" s="8">
        <f>IFERROR(VLOOKUP(D26,'Supplier Master'!$A$2:$F$16,5,FALSE()),0)</f>
        <v>8</v>
      </c>
      <c r="L26" s="4" t="str">
        <f t="shared" si="2"/>
        <v>Low Stock</v>
      </c>
      <c r="M26" s="8">
        <f t="shared" si="3"/>
        <v>76</v>
      </c>
      <c r="N26" s="8">
        <f t="shared" si="4"/>
        <v>30</v>
      </c>
    </row>
    <row r="27" ht="15.75" customHeight="1">
      <c r="A27" s="4" t="s">
        <v>178</v>
      </c>
      <c r="B27" s="4" t="s">
        <v>179</v>
      </c>
      <c r="C27" s="4" t="s">
        <v>15</v>
      </c>
      <c r="D27" s="4" t="s">
        <v>48</v>
      </c>
      <c r="E27" s="4" t="str">
        <f>IFERROR(VLOOKUP(D27,'Supplier Master'!$A$2:$F$16,2,FALSE()),"Supplier not found")</f>
        <v>Delta Retail Partners</v>
      </c>
      <c r="F27" s="8">
        <v>12.0</v>
      </c>
      <c r="G27" s="8">
        <v>49.0</v>
      </c>
      <c r="H27" s="7">
        <v>4499.0</v>
      </c>
      <c r="I27" s="7">
        <f t="shared" si="1"/>
        <v>53988</v>
      </c>
      <c r="J27" s="9">
        <v>46051.0</v>
      </c>
      <c r="K27" s="8">
        <f>IFERROR(VLOOKUP(D27,'Supplier Master'!$A$2:$F$16,5,FALSE()),0)</f>
        <v>7</v>
      </c>
      <c r="L27" s="4" t="str">
        <f t="shared" si="2"/>
        <v>Low Stock</v>
      </c>
      <c r="M27" s="8">
        <f t="shared" si="3"/>
        <v>86</v>
      </c>
      <c r="N27" s="8">
        <f t="shared" si="4"/>
        <v>272</v>
      </c>
    </row>
    <row r="28" ht="15.75" customHeight="1">
      <c r="A28" s="4" t="s">
        <v>180</v>
      </c>
      <c r="B28" s="4" t="s">
        <v>181</v>
      </c>
      <c r="C28" s="4" t="s">
        <v>15</v>
      </c>
      <c r="D28" s="4" t="s">
        <v>25</v>
      </c>
      <c r="E28" s="4" t="str">
        <f>IFERROR(VLOOKUP(D28,'Supplier Master'!$A$2:$F$16,2,FALSE()),"Supplier not found")</f>
        <v>GoldenGate Supplies</v>
      </c>
      <c r="F28" s="8">
        <v>3.0</v>
      </c>
      <c r="G28" s="8">
        <v>21.0</v>
      </c>
      <c r="H28" s="7">
        <v>299.0</v>
      </c>
      <c r="I28" s="7">
        <f t="shared" si="1"/>
        <v>897</v>
      </c>
      <c r="J28" s="9">
        <v>46208.0</v>
      </c>
      <c r="K28" s="8">
        <f>IFERROR(VLOOKUP(D28,'Supplier Master'!$A$2:$F$16,5,FALSE()),0)</f>
        <v>6</v>
      </c>
      <c r="L28" s="4" t="str">
        <f t="shared" si="2"/>
        <v>Low Stock</v>
      </c>
      <c r="M28" s="8">
        <f t="shared" si="3"/>
        <v>39</v>
      </c>
      <c r="N28" s="8">
        <f t="shared" si="4"/>
        <v>115</v>
      </c>
    </row>
    <row r="29" ht="15.75" customHeight="1">
      <c r="A29" s="4" t="s">
        <v>182</v>
      </c>
      <c r="B29" s="4" t="s">
        <v>183</v>
      </c>
      <c r="C29" s="4" t="s">
        <v>15</v>
      </c>
      <c r="D29" s="4" t="s">
        <v>48</v>
      </c>
      <c r="E29" s="4" t="str">
        <f>IFERROR(VLOOKUP(D29,'Supplier Master'!$A$2:$F$16,2,FALSE()),"Supplier not found")</f>
        <v>Delta Retail Partners</v>
      </c>
      <c r="F29" s="8">
        <v>41.0</v>
      </c>
      <c r="G29" s="8">
        <v>58.0</v>
      </c>
      <c r="H29" s="7">
        <v>599.0</v>
      </c>
      <c r="I29" s="7">
        <f t="shared" si="1"/>
        <v>24559</v>
      </c>
      <c r="J29" s="9">
        <v>46196.0</v>
      </c>
      <c r="K29" s="8">
        <f>IFERROR(VLOOKUP(D29,'Supplier Master'!$A$2:$F$16,5,FALSE()),0)</f>
        <v>7</v>
      </c>
      <c r="L29" s="4" t="str">
        <f t="shared" si="2"/>
        <v>Low Stock</v>
      </c>
      <c r="M29" s="8">
        <f t="shared" si="3"/>
        <v>75</v>
      </c>
      <c r="N29" s="8">
        <f t="shared" si="4"/>
        <v>127</v>
      </c>
    </row>
    <row r="30" ht="15.75" customHeight="1">
      <c r="A30" s="4" t="s">
        <v>184</v>
      </c>
      <c r="B30" s="4" t="s">
        <v>185</v>
      </c>
      <c r="C30" s="4" t="s">
        <v>15</v>
      </c>
      <c r="D30" s="4" t="s">
        <v>25</v>
      </c>
      <c r="E30" s="4" t="str">
        <f>IFERROR(VLOOKUP(D30,'Supplier Master'!$A$2:$F$16,2,FALSE()),"Supplier not found")</f>
        <v>GoldenGate Supplies</v>
      </c>
      <c r="F30" s="8">
        <v>23.0</v>
      </c>
      <c r="G30" s="8">
        <v>31.0</v>
      </c>
      <c r="H30" s="7">
        <v>449.0</v>
      </c>
      <c r="I30" s="7">
        <f t="shared" si="1"/>
        <v>10327</v>
      </c>
      <c r="J30" s="9">
        <v>46244.0</v>
      </c>
      <c r="K30" s="8">
        <f>IFERROR(VLOOKUP(D30,'Supplier Master'!$A$2:$F$16,5,FALSE()),0)</f>
        <v>6</v>
      </c>
      <c r="L30" s="4" t="str">
        <f t="shared" si="2"/>
        <v>Low Stock</v>
      </c>
      <c r="M30" s="8">
        <f t="shared" si="3"/>
        <v>39</v>
      </c>
      <c r="N30" s="8">
        <f t="shared" si="4"/>
        <v>79</v>
      </c>
    </row>
    <row r="31" ht="15.75" customHeight="1">
      <c r="A31" s="4" t="s">
        <v>186</v>
      </c>
      <c r="B31" s="4" t="s">
        <v>187</v>
      </c>
      <c r="C31" s="4" t="s">
        <v>15</v>
      </c>
      <c r="D31" s="4" t="s">
        <v>25</v>
      </c>
      <c r="E31" s="4" t="str">
        <f>IFERROR(VLOOKUP(D31,'Supplier Master'!$A$2:$F$16,2,FALSE()),"Supplier not found")</f>
        <v>GoldenGate Supplies</v>
      </c>
      <c r="F31" s="8">
        <v>28.0</v>
      </c>
      <c r="G31" s="8">
        <v>35.0</v>
      </c>
      <c r="H31" s="7">
        <v>1099.0</v>
      </c>
      <c r="I31" s="7">
        <f t="shared" si="1"/>
        <v>30772</v>
      </c>
      <c r="J31" s="9">
        <v>46189.0</v>
      </c>
      <c r="K31" s="8">
        <f>IFERROR(VLOOKUP(D31,'Supplier Master'!$A$2:$F$16,5,FALSE()),0)</f>
        <v>6</v>
      </c>
      <c r="L31" s="4" t="str">
        <f t="shared" si="2"/>
        <v>Low Stock</v>
      </c>
      <c r="M31" s="8">
        <f t="shared" si="3"/>
        <v>42</v>
      </c>
      <c r="N31" s="8">
        <f t="shared" si="4"/>
        <v>134</v>
      </c>
    </row>
    <row r="32" ht="15.75" customHeight="1">
      <c r="A32" s="4" t="s">
        <v>188</v>
      </c>
      <c r="B32" s="4" t="s">
        <v>189</v>
      </c>
      <c r="C32" s="4" t="s">
        <v>190</v>
      </c>
      <c r="D32" s="4" t="s">
        <v>70</v>
      </c>
      <c r="E32" s="4" t="str">
        <f>IFERROR(VLOOKUP(D32,'Supplier Master'!$A$2:$F$16,2,FALSE()),"Supplier not found")</f>
        <v>Evergreen Traders</v>
      </c>
      <c r="F32" s="8">
        <v>11.0</v>
      </c>
      <c r="G32" s="8">
        <v>32.0</v>
      </c>
      <c r="H32" s="7">
        <v>649.0</v>
      </c>
      <c r="I32" s="7">
        <f t="shared" si="1"/>
        <v>7139</v>
      </c>
      <c r="J32" s="9">
        <v>46236.0</v>
      </c>
      <c r="K32" s="8">
        <f>IFERROR(VLOOKUP(D32,'Supplier Master'!$A$2:$F$16,5,FALSE()),0)</f>
        <v>2</v>
      </c>
      <c r="L32" s="4" t="str">
        <f t="shared" si="2"/>
        <v>Low Stock</v>
      </c>
      <c r="M32" s="8">
        <f t="shared" si="3"/>
        <v>53</v>
      </c>
      <c r="N32" s="8">
        <f t="shared" si="4"/>
        <v>87</v>
      </c>
    </row>
    <row r="33" ht="15.75" customHeight="1">
      <c r="A33" s="4" t="s">
        <v>191</v>
      </c>
      <c r="B33" s="4" t="s">
        <v>192</v>
      </c>
      <c r="C33" s="4" t="s">
        <v>190</v>
      </c>
      <c r="D33" s="4" t="s">
        <v>80</v>
      </c>
      <c r="E33" s="4" t="str">
        <f>IFERROR(VLOOKUP(D33,'Supplier Master'!$A$2:$F$16,2,FALSE()),"Supplier not found")</f>
        <v>FreshCart Suppliers</v>
      </c>
      <c r="F33" s="8">
        <v>48.0</v>
      </c>
      <c r="G33" s="8">
        <v>76.0</v>
      </c>
      <c r="H33" s="7">
        <v>259.0</v>
      </c>
      <c r="I33" s="7">
        <f t="shared" si="1"/>
        <v>12432</v>
      </c>
      <c r="J33" s="9">
        <v>46139.0</v>
      </c>
      <c r="K33" s="8">
        <f>IFERROR(VLOOKUP(D33,'Supplier Master'!$A$2:$F$16,5,FALSE()),0)</f>
        <v>3</v>
      </c>
      <c r="L33" s="4" t="str">
        <f t="shared" si="2"/>
        <v>Low Stock</v>
      </c>
      <c r="M33" s="8">
        <f t="shared" si="3"/>
        <v>104</v>
      </c>
      <c r="N33" s="8">
        <f t="shared" si="4"/>
        <v>184</v>
      </c>
    </row>
    <row r="34" ht="15.75" customHeight="1">
      <c r="A34" s="4" t="s">
        <v>193</v>
      </c>
      <c r="B34" s="4" t="s">
        <v>194</v>
      </c>
      <c r="C34" s="4" t="s">
        <v>190</v>
      </c>
      <c r="D34" s="4" t="s">
        <v>138</v>
      </c>
      <c r="E34" s="4" t="str">
        <f>IFERROR(VLOOKUP(D34,'Supplier Master'!$A$2:$F$16,2,FALSE()),"Supplier not found")</f>
        <v>Lotus Market Supply</v>
      </c>
      <c r="F34" s="8">
        <v>0.0</v>
      </c>
      <c r="G34" s="8">
        <v>54.0</v>
      </c>
      <c r="H34" s="7">
        <v>149.0</v>
      </c>
      <c r="I34" s="7">
        <f t="shared" si="1"/>
        <v>0</v>
      </c>
      <c r="J34" s="9">
        <v>46131.0</v>
      </c>
      <c r="K34" s="8">
        <f>IFERROR(VLOOKUP(D34,'Supplier Master'!$A$2:$F$16,5,FALSE()),0)</f>
        <v>3</v>
      </c>
      <c r="L34" s="4" t="str">
        <f t="shared" si="2"/>
        <v>Out of Stock</v>
      </c>
      <c r="M34" s="8">
        <f t="shared" si="3"/>
        <v>108</v>
      </c>
      <c r="N34" s="8">
        <f t="shared" si="4"/>
        <v>192</v>
      </c>
    </row>
    <row r="35" ht="15.75" customHeight="1">
      <c r="A35" s="4" t="s">
        <v>195</v>
      </c>
      <c r="B35" s="4" t="s">
        <v>196</v>
      </c>
      <c r="C35" s="4" t="s">
        <v>190</v>
      </c>
      <c r="D35" s="4" t="s">
        <v>138</v>
      </c>
      <c r="E35" s="4" t="str">
        <f>IFERROR(VLOOKUP(D35,'Supplier Master'!$A$2:$F$16,2,FALSE()),"Supplier not found")</f>
        <v>Lotus Market Supply</v>
      </c>
      <c r="F35" s="8">
        <v>11.0</v>
      </c>
      <c r="G35" s="8">
        <v>53.0</v>
      </c>
      <c r="H35" s="7">
        <v>299.0</v>
      </c>
      <c r="I35" s="7">
        <f t="shared" si="1"/>
        <v>3289</v>
      </c>
      <c r="J35" s="9">
        <v>46231.0</v>
      </c>
      <c r="K35" s="8">
        <f>IFERROR(VLOOKUP(D35,'Supplier Master'!$A$2:$F$16,5,FALSE()),0)</f>
        <v>3</v>
      </c>
      <c r="L35" s="4" t="str">
        <f t="shared" si="2"/>
        <v>Low Stock</v>
      </c>
      <c r="M35" s="8">
        <f t="shared" si="3"/>
        <v>95</v>
      </c>
      <c r="N35" s="8">
        <f t="shared" si="4"/>
        <v>92</v>
      </c>
    </row>
    <row r="36" ht="15.75" customHeight="1">
      <c r="A36" s="4" t="s">
        <v>197</v>
      </c>
      <c r="B36" s="4" t="s">
        <v>198</v>
      </c>
      <c r="C36" s="4" t="s">
        <v>190</v>
      </c>
      <c r="D36" s="4" t="s">
        <v>138</v>
      </c>
      <c r="E36" s="4" t="str">
        <f>IFERROR(VLOOKUP(D36,'Supplier Master'!$A$2:$F$16,2,FALSE()),"Supplier not found")</f>
        <v>Lotus Market Supply</v>
      </c>
      <c r="F36" s="8">
        <v>65.0</v>
      </c>
      <c r="G36" s="8">
        <v>65.0</v>
      </c>
      <c r="H36" s="7">
        <v>349.0</v>
      </c>
      <c r="I36" s="7">
        <f t="shared" si="1"/>
        <v>22685</v>
      </c>
      <c r="J36" s="9">
        <v>46081.0</v>
      </c>
      <c r="K36" s="8">
        <f>IFERROR(VLOOKUP(D36,'Supplier Master'!$A$2:$F$16,5,FALSE()),0)</f>
        <v>3</v>
      </c>
      <c r="L36" s="4" t="str">
        <f t="shared" si="2"/>
        <v>In Stock</v>
      </c>
      <c r="M36" s="8">
        <f t="shared" si="3"/>
        <v>0</v>
      </c>
      <c r="N36" s="8">
        <f t="shared" si="4"/>
        <v>242</v>
      </c>
    </row>
    <row r="37" ht="15.75" customHeight="1">
      <c r="A37" s="4" t="s">
        <v>199</v>
      </c>
      <c r="B37" s="4" t="s">
        <v>200</v>
      </c>
      <c r="C37" s="4" t="s">
        <v>190</v>
      </c>
      <c r="D37" s="4" t="s">
        <v>70</v>
      </c>
      <c r="E37" s="4" t="str">
        <f>IFERROR(VLOOKUP(D37,'Supplier Master'!$A$2:$F$16,2,FALSE()),"Supplier not found")</f>
        <v>Evergreen Traders</v>
      </c>
      <c r="F37" s="8">
        <v>81.0</v>
      </c>
      <c r="G37" s="8">
        <v>81.0</v>
      </c>
      <c r="H37" s="7">
        <v>52.0</v>
      </c>
      <c r="I37" s="7">
        <f t="shared" si="1"/>
        <v>4212</v>
      </c>
      <c r="J37" s="9">
        <v>46228.0</v>
      </c>
      <c r="K37" s="8">
        <f>IFERROR(VLOOKUP(D37,'Supplier Master'!$A$2:$F$16,5,FALSE()),0)</f>
        <v>2</v>
      </c>
      <c r="L37" s="4" t="str">
        <f t="shared" si="2"/>
        <v>In Stock</v>
      </c>
      <c r="M37" s="8">
        <f t="shared" si="3"/>
        <v>0</v>
      </c>
      <c r="N37" s="8">
        <f t="shared" si="4"/>
        <v>95</v>
      </c>
    </row>
    <row r="38" ht="15.75" customHeight="1">
      <c r="A38" s="4" t="s">
        <v>201</v>
      </c>
      <c r="B38" s="4" t="s">
        <v>202</v>
      </c>
      <c r="C38" s="4" t="s">
        <v>190</v>
      </c>
      <c r="D38" s="4" t="s">
        <v>70</v>
      </c>
      <c r="E38" s="4" t="str">
        <f>IFERROR(VLOOKUP(D38,'Supplier Master'!$A$2:$F$16,2,FALSE()),"Supplier not found")</f>
        <v>Evergreen Traders</v>
      </c>
      <c r="F38" s="8">
        <v>56.0</v>
      </c>
      <c r="G38" s="8">
        <v>56.0</v>
      </c>
      <c r="H38" s="7">
        <v>28.0</v>
      </c>
      <c r="I38" s="7">
        <f t="shared" si="1"/>
        <v>1568</v>
      </c>
      <c r="J38" s="9">
        <v>46103.0</v>
      </c>
      <c r="K38" s="8">
        <f>IFERROR(VLOOKUP(D38,'Supplier Master'!$A$2:$F$16,5,FALSE()),0)</f>
        <v>2</v>
      </c>
      <c r="L38" s="4" t="str">
        <f t="shared" si="2"/>
        <v>In Stock</v>
      </c>
      <c r="M38" s="8">
        <f t="shared" si="3"/>
        <v>0</v>
      </c>
      <c r="N38" s="8">
        <f t="shared" si="4"/>
        <v>220</v>
      </c>
    </row>
    <row r="39" ht="15.75" customHeight="1">
      <c r="A39" s="4" t="s">
        <v>203</v>
      </c>
      <c r="B39" s="4" t="s">
        <v>204</v>
      </c>
      <c r="C39" s="4" t="s">
        <v>190</v>
      </c>
      <c r="D39" s="4" t="s">
        <v>118</v>
      </c>
      <c r="E39" s="4" t="str">
        <f>IFERROR(VLOOKUP(D39,'Supplier Master'!$A$2:$F$16,2,FALSE()),"Supplier not found")</f>
        <v>Jasmine General Trading</v>
      </c>
      <c r="F39" s="8">
        <v>53.0</v>
      </c>
      <c r="G39" s="8">
        <v>53.0</v>
      </c>
      <c r="H39" s="7">
        <v>169.0</v>
      </c>
      <c r="I39" s="7">
        <f t="shared" si="1"/>
        <v>8957</v>
      </c>
      <c r="J39" s="9">
        <v>46204.0</v>
      </c>
      <c r="K39" s="8">
        <f>IFERROR(VLOOKUP(D39,'Supplier Master'!$A$2:$F$16,5,FALSE()),0)</f>
        <v>4</v>
      </c>
      <c r="L39" s="4" t="str">
        <f t="shared" si="2"/>
        <v>In Stock</v>
      </c>
      <c r="M39" s="8">
        <f t="shared" si="3"/>
        <v>0</v>
      </c>
      <c r="N39" s="8">
        <f t="shared" si="4"/>
        <v>119</v>
      </c>
    </row>
    <row r="40" ht="15.75" customHeight="1">
      <c r="A40" s="4" t="s">
        <v>205</v>
      </c>
      <c r="B40" s="4" t="s">
        <v>206</v>
      </c>
      <c r="C40" s="4" t="s">
        <v>190</v>
      </c>
      <c r="D40" s="4" t="s">
        <v>80</v>
      </c>
      <c r="E40" s="4" t="str">
        <f>IFERROR(VLOOKUP(D40,'Supplier Master'!$A$2:$F$16,2,FALSE()),"Supplier not found")</f>
        <v>FreshCart Suppliers</v>
      </c>
      <c r="F40" s="8">
        <v>64.0</v>
      </c>
      <c r="G40" s="8">
        <v>64.0</v>
      </c>
      <c r="H40" s="7">
        <v>129.0</v>
      </c>
      <c r="I40" s="7">
        <f t="shared" si="1"/>
        <v>8256</v>
      </c>
      <c r="J40" s="9">
        <v>46053.0</v>
      </c>
      <c r="K40" s="8">
        <f>IFERROR(VLOOKUP(D40,'Supplier Master'!$A$2:$F$16,5,FALSE()),0)</f>
        <v>3</v>
      </c>
      <c r="L40" s="4" t="str">
        <f t="shared" si="2"/>
        <v>In Stock</v>
      </c>
      <c r="M40" s="8">
        <f t="shared" si="3"/>
        <v>0</v>
      </c>
      <c r="N40" s="8">
        <f t="shared" si="4"/>
        <v>270</v>
      </c>
    </row>
    <row r="41" ht="15.75" customHeight="1">
      <c r="A41" s="4" t="s">
        <v>207</v>
      </c>
      <c r="B41" s="4" t="s">
        <v>208</v>
      </c>
      <c r="C41" s="4" t="s">
        <v>190</v>
      </c>
      <c r="D41" s="4" t="s">
        <v>70</v>
      </c>
      <c r="E41" s="4" t="str">
        <f>IFERROR(VLOOKUP(D41,'Supplier Master'!$A$2:$F$16,2,FALSE()),"Supplier not found")</f>
        <v>Evergreen Traders</v>
      </c>
      <c r="F41" s="8">
        <v>73.0</v>
      </c>
      <c r="G41" s="8">
        <v>73.0</v>
      </c>
      <c r="H41" s="7">
        <v>189.0</v>
      </c>
      <c r="I41" s="7">
        <f t="shared" si="1"/>
        <v>13797</v>
      </c>
      <c r="J41" s="9">
        <v>46257.0</v>
      </c>
      <c r="K41" s="8">
        <f>IFERROR(VLOOKUP(D41,'Supplier Master'!$A$2:$F$16,5,FALSE()),0)</f>
        <v>2</v>
      </c>
      <c r="L41" s="4" t="str">
        <f t="shared" si="2"/>
        <v>In Stock</v>
      </c>
      <c r="M41" s="8">
        <f t="shared" si="3"/>
        <v>0</v>
      </c>
      <c r="N41" s="8">
        <f t="shared" si="4"/>
        <v>66</v>
      </c>
    </row>
    <row r="42" ht="15.75" customHeight="1">
      <c r="A42" s="4" t="s">
        <v>209</v>
      </c>
      <c r="B42" s="4" t="s">
        <v>210</v>
      </c>
      <c r="C42" s="4" t="s">
        <v>190</v>
      </c>
      <c r="D42" s="4" t="s">
        <v>70</v>
      </c>
      <c r="E42" s="4" t="str">
        <f>IFERROR(VLOOKUP(D42,'Supplier Master'!$A$2:$F$16,2,FALSE()),"Supplier not found")</f>
        <v>Evergreen Traders</v>
      </c>
      <c r="F42" s="8">
        <v>99.0</v>
      </c>
      <c r="G42" s="8">
        <v>99.0</v>
      </c>
      <c r="H42" s="7">
        <v>129.0</v>
      </c>
      <c r="I42" s="7">
        <f t="shared" si="1"/>
        <v>12771</v>
      </c>
      <c r="J42" s="9">
        <v>46145.0</v>
      </c>
      <c r="K42" s="8">
        <f>IFERROR(VLOOKUP(D42,'Supplier Master'!$A$2:$F$16,5,FALSE()),0)</f>
        <v>2</v>
      </c>
      <c r="L42" s="4" t="str">
        <f t="shared" si="2"/>
        <v>In Stock</v>
      </c>
      <c r="M42" s="8">
        <f t="shared" si="3"/>
        <v>0</v>
      </c>
      <c r="N42" s="8">
        <f t="shared" si="4"/>
        <v>178</v>
      </c>
    </row>
    <row r="43" ht="15.75" customHeight="1">
      <c r="A43" s="4" t="s">
        <v>211</v>
      </c>
      <c r="B43" s="4" t="s">
        <v>212</v>
      </c>
      <c r="C43" s="4" t="s">
        <v>190</v>
      </c>
      <c r="D43" s="4" t="s">
        <v>70</v>
      </c>
      <c r="E43" s="4" t="str">
        <f>IFERROR(VLOOKUP(D43,'Supplier Master'!$A$2:$F$16,2,FALSE()),"Supplier not found")</f>
        <v>Evergreen Traders</v>
      </c>
      <c r="F43" s="8">
        <v>35.0</v>
      </c>
      <c r="G43" s="8">
        <v>35.0</v>
      </c>
      <c r="H43" s="7">
        <v>119.0</v>
      </c>
      <c r="I43" s="7">
        <f t="shared" si="1"/>
        <v>4165</v>
      </c>
      <c r="J43" s="9">
        <v>46250.0</v>
      </c>
      <c r="K43" s="8">
        <f>IFERROR(VLOOKUP(D43,'Supplier Master'!$A$2:$F$16,5,FALSE()),0)</f>
        <v>2</v>
      </c>
      <c r="L43" s="4" t="str">
        <f t="shared" si="2"/>
        <v>In Stock</v>
      </c>
      <c r="M43" s="8">
        <f t="shared" si="3"/>
        <v>0</v>
      </c>
      <c r="N43" s="8">
        <f t="shared" si="4"/>
        <v>73</v>
      </c>
    </row>
    <row r="44" ht="15.75" customHeight="1">
      <c r="A44" s="4" t="s">
        <v>213</v>
      </c>
      <c r="B44" s="4" t="s">
        <v>214</v>
      </c>
      <c r="C44" s="4" t="s">
        <v>190</v>
      </c>
      <c r="D44" s="4" t="s">
        <v>138</v>
      </c>
      <c r="E44" s="4" t="str">
        <f>IFERROR(VLOOKUP(D44,'Supplier Master'!$A$2:$F$16,2,FALSE()),"Supplier not found")</f>
        <v>Lotus Market Supply</v>
      </c>
      <c r="F44" s="8">
        <v>416.0</v>
      </c>
      <c r="G44" s="8">
        <v>31.0</v>
      </c>
      <c r="H44" s="7">
        <v>249.0</v>
      </c>
      <c r="I44" s="7">
        <f t="shared" si="1"/>
        <v>103584</v>
      </c>
      <c r="J44" s="9">
        <v>46131.0</v>
      </c>
      <c r="K44" s="8">
        <f>IFERROR(VLOOKUP(D44,'Supplier Master'!$A$2:$F$16,5,FALSE()),0)</f>
        <v>3</v>
      </c>
      <c r="L44" s="4" t="str">
        <f t="shared" si="2"/>
        <v>In Stock</v>
      </c>
      <c r="M44" s="8">
        <f t="shared" si="3"/>
        <v>0</v>
      </c>
      <c r="N44" s="8">
        <f t="shared" si="4"/>
        <v>192</v>
      </c>
    </row>
    <row r="45" ht="15.75" customHeight="1">
      <c r="A45" s="4" t="s">
        <v>215</v>
      </c>
      <c r="B45" s="4" t="s">
        <v>216</v>
      </c>
      <c r="C45" s="4" t="s">
        <v>190</v>
      </c>
      <c r="D45" s="4" t="s">
        <v>138</v>
      </c>
      <c r="E45" s="4" t="str">
        <f>IFERROR(VLOOKUP(D45,'Supplier Master'!$A$2:$F$16,2,FALSE()),"Supplier not found")</f>
        <v>Lotus Market Supply</v>
      </c>
      <c r="F45" s="8">
        <v>816.0</v>
      </c>
      <c r="G45" s="8">
        <v>76.0</v>
      </c>
      <c r="H45" s="7">
        <v>299.0</v>
      </c>
      <c r="I45" s="7">
        <f t="shared" si="1"/>
        <v>243984</v>
      </c>
      <c r="J45" s="9">
        <v>46186.0</v>
      </c>
      <c r="K45" s="8">
        <f>IFERROR(VLOOKUP(D45,'Supplier Master'!$A$2:$F$16,5,FALSE()),0)</f>
        <v>3</v>
      </c>
      <c r="L45" s="4" t="str">
        <f t="shared" si="2"/>
        <v>In Stock</v>
      </c>
      <c r="M45" s="8">
        <f t="shared" si="3"/>
        <v>0</v>
      </c>
      <c r="N45" s="8">
        <f t="shared" si="4"/>
        <v>137</v>
      </c>
    </row>
    <row r="46" ht="15.75" customHeight="1">
      <c r="A46" s="4" t="s">
        <v>217</v>
      </c>
      <c r="B46" s="4" t="s">
        <v>218</v>
      </c>
      <c r="C46" s="4" t="s">
        <v>190</v>
      </c>
      <c r="D46" s="4" t="s">
        <v>138</v>
      </c>
      <c r="E46" s="4" t="str">
        <f>IFERROR(VLOOKUP(D46,'Supplier Master'!$A$2:$F$16,2,FALSE()),"Supplier not found")</f>
        <v>Lotus Market Supply</v>
      </c>
      <c r="F46" s="8">
        <v>330.0</v>
      </c>
      <c r="G46" s="8">
        <v>27.0</v>
      </c>
      <c r="H46" s="7">
        <v>60.0</v>
      </c>
      <c r="I46" s="7">
        <f t="shared" si="1"/>
        <v>19800</v>
      </c>
      <c r="J46" s="9">
        <v>46185.0</v>
      </c>
      <c r="K46" s="8">
        <f>IFERROR(VLOOKUP(D46,'Supplier Master'!$A$2:$F$16,5,FALSE()),0)</f>
        <v>3</v>
      </c>
      <c r="L46" s="4" t="str">
        <f t="shared" si="2"/>
        <v>In Stock</v>
      </c>
      <c r="M46" s="8">
        <f t="shared" si="3"/>
        <v>0</v>
      </c>
      <c r="N46" s="8">
        <f t="shared" si="4"/>
        <v>138</v>
      </c>
    </row>
    <row r="47" ht="15.75" customHeight="1">
      <c r="A47" s="4" t="s">
        <v>219</v>
      </c>
      <c r="B47" s="4" t="s">
        <v>220</v>
      </c>
      <c r="C47" s="4" t="s">
        <v>190</v>
      </c>
      <c r="D47" s="4" t="s">
        <v>80</v>
      </c>
      <c r="E47" s="4" t="str">
        <f>IFERROR(VLOOKUP(D47,'Supplier Master'!$A$2:$F$16,2,FALSE()),"Supplier not found")</f>
        <v>FreshCart Suppliers</v>
      </c>
      <c r="F47" s="8">
        <v>703.0</v>
      </c>
      <c r="G47" s="8">
        <v>90.0</v>
      </c>
      <c r="H47" s="7">
        <v>229.0</v>
      </c>
      <c r="I47" s="7">
        <f t="shared" si="1"/>
        <v>160987</v>
      </c>
      <c r="J47" s="9">
        <v>46293.0</v>
      </c>
      <c r="K47" s="8">
        <f>IFERROR(VLOOKUP(D47,'Supplier Master'!$A$2:$F$16,5,FALSE()),0)</f>
        <v>3</v>
      </c>
      <c r="L47" s="4" t="str">
        <f t="shared" si="2"/>
        <v>In Stock</v>
      </c>
      <c r="M47" s="8">
        <f t="shared" si="3"/>
        <v>0</v>
      </c>
      <c r="N47" s="8">
        <f t="shared" si="4"/>
        <v>30</v>
      </c>
    </row>
    <row r="48" ht="15.75" customHeight="1">
      <c r="A48" s="4" t="s">
        <v>221</v>
      </c>
      <c r="B48" s="4" t="s">
        <v>222</v>
      </c>
      <c r="C48" s="4" t="s">
        <v>190</v>
      </c>
      <c r="D48" s="4" t="s">
        <v>70</v>
      </c>
      <c r="E48" s="4" t="str">
        <f>IFERROR(VLOOKUP(D48,'Supplier Master'!$A$2:$F$16,2,FALSE()),"Supplier not found")</f>
        <v>Evergreen Traders</v>
      </c>
      <c r="F48" s="8">
        <v>630.0</v>
      </c>
      <c r="G48" s="8">
        <v>72.0</v>
      </c>
      <c r="H48" s="7">
        <v>109.0</v>
      </c>
      <c r="I48" s="7">
        <f t="shared" si="1"/>
        <v>68670</v>
      </c>
      <c r="J48" s="9">
        <v>46111.0</v>
      </c>
      <c r="K48" s="8">
        <f>IFERROR(VLOOKUP(D48,'Supplier Master'!$A$2:$F$16,5,FALSE()),0)</f>
        <v>2</v>
      </c>
      <c r="L48" s="4" t="str">
        <f t="shared" si="2"/>
        <v>In Stock</v>
      </c>
      <c r="M48" s="8">
        <f t="shared" si="3"/>
        <v>0</v>
      </c>
      <c r="N48" s="8">
        <f t="shared" si="4"/>
        <v>212</v>
      </c>
    </row>
    <row r="49" ht="15.75" customHeight="1">
      <c r="A49" s="4" t="s">
        <v>223</v>
      </c>
      <c r="B49" s="4" t="s">
        <v>224</v>
      </c>
      <c r="C49" s="4" t="s">
        <v>190</v>
      </c>
      <c r="D49" s="4" t="s">
        <v>118</v>
      </c>
      <c r="E49" s="4" t="str">
        <f>IFERROR(VLOOKUP(D49,'Supplier Master'!$A$2:$F$16,2,FALSE()),"Supplier not found")</f>
        <v>Jasmine General Trading</v>
      </c>
      <c r="F49" s="8">
        <v>132.0</v>
      </c>
      <c r="G49" s="8">
        <v>92.0</v>
      </c>
      <c r="H49" s="7">
        <v>89.0</v>
      </c>
      <c r="I49" s="7">
        <f t="shared" si="1"/>
        <v>11748</v>
      </c>
      <c r="J49" s="9">
        <v>46149.0</v>
      </c>
      <c r="K49" s="8">
        <f>IFERROR(VLOOKUP(D49,'Supplier Master'!$A$2:$F$16,5,FALSE()),0)</f>
        <v>4</v>
      </c>
      <c r="L49" s="4" t="str">
        <f t="shared" si="2"/>
        <v>In Stock</v>
      </c>
      <c r="M49" s="8">
        <f t="shared" si="3"/>
        <v>0</v>
      </c>
      <c r="N49" s="8">
        <f t="shared" si="4"/>
        <v>174</v>
      </c>
    </row>
    <row r="50" ht="15.75" customHeight="1">
      <c r="A50" s="4" t="s">
        <v>225</v>
      </c>
      <c r="B50" s="4" t="s">
        <v>226</v>
      </c>
      <c r="C50" s="4" t="s">
        <v>190</v>
      </c>
      <c r="D50" s="4" t="s">
        <v>80</v>
      </c>
      <c r="E50" s="4" t="str">
        <f>IFERROR(VLOOKUP(D50,'Supplier Master'!$A$2:$F$16,2,FALSE()),"Supplier not found")</f>
        <v>FreshCart Suppliers</v>
      </c>
      <c r="F50" s="8">
        <v>879.0</v>
      </c>
      <c r="G50" s="8">
        <v>74.0</v>
      </c>
      <c r="H50" s="7">
        <v>289.0</v>
      </c>
      <c r="I50" s="7">
        <f t="shared" si="1"/>
        <v>254031</v>
      </c>
      <c r="J50" s="9">
        <v>46086.0</v>
      </c>
      <c r="K50" s="8">
        <f>IFERROR(VLOOKUP(D50,'Supplier Master'!$A$2:$F$16,5,FALSE()),0)</f>
        <v>3</v>
      </c>
      <c r="L50" s="4" t="str">
        <f t="shared" si="2"/>
        <v>In Stock</v>
      </c>
      <c r="M50" s="8">
        <f t="shared" si="3"/>
        <v>0</v>
      </c>
      <c r="N50" s="8">
        <f t="shared" si="4"/>
        <v>237</v>
      </c>
    </row>
    <row r="51" ht="15.75" customHeight="1">
      <c r="A51" s="4" t="s">
        <v>227</v>
      </c>
      <c r="B51" s="4" t="s">
        <v>228</v>
      </c>
      <c r="C51" s="4" t="s">
        <v>190</v>
      </c>
      <c r="D51" s="4" t="s">
        <v>118</v>
      </c>
      <c r="E51" s="4" t="str">
        <f>IFERROR(VLOOKUP(D51,'Supplier Master'!$A$2:$F$16,2,FALSE()),"Supplier not found")</f>
        <v>Jasmine General Trading</v>
      </c>
      <c r="F51" s="8">
        <v>214.0</v>
      </c>
      <c r="G51" s="8">
        <v>15.0</v>
      </c>
      <c r="H51" s="7">
        <v>168.0</v>
      </c>
      <c r="I51" s="7">
        <f t="shared" si="1"/>
        <v>35952</v>
      </c>
      <c r="J51" s="9">
        <v>46267.0</v>
      </c>
      <c r="K51" s="8">
        <f>IFERROR(VLOOKUP(D51,'Supplier Master'!$A$2:$F$16,5,FALSE()),0)</f>
        <v>4</v>
      </c>
      <c r="L51" s="4" t="str">
        <f t="shared" si="2"/>
        <v>In Stock</v>
      </c>
      <c r="M51" s="8">
        <f t="shared" si="3"/>
        <v>0</v>
      </c>
      <c r="N51" s="8">
        <f t="shared" si="4"/>
        <v>56</v>
      </c>
    </row>
    <row r="52" ht="15.75" customHeight="1">
      <c r="A52" s="4" t="s">
        <v>229</v>
      </c>
      <c r="B52" s="4" t="s">
        <v>230</v>
      </c>
      <c r="C52" s="4" t="s">
        <v>190</v>
      </c>
      <c r="D52" s="4" t="s">
        <v>138</v>
      </c>
      <c r="E52" s="4" t="str">
        <f>IFERROR(VLOOKUP(D52,'Supplier Master'!$A$2:$F$16,2,FALSE()),"Supplier not found")</f>
        <v>Lotus Market Supply</v>
      </c>
      <c r="F52" s="8">
        <v>41.0</v>
      </c>
      <c r="G52" s="8">
        <v>32.0</v>
      </c>
      <c r="H52" s="7">
        <v>399.0</v>
      </c>
      <c r="I52" s="7">
        <f t="shared" si="1"/>
        <v>16359</v>
      </c>
      <c r="J52" s="9">
        <v>46149.0</v>
      </c>
      <c r="K52" s="8">
        <f>IFERROR(VLOOKUP(D52,'Supplier Master'!$A$2:$F$16,5,FALSE()),0)</f>
        <v>3</v>
      </c>
      <c r="L52" s="4" t="str">
        <f t="shared" si="2"/>
        <v>In Stock</v>
      </c>
      <c r="M52" s="8">
        <f t="shared" si="3"/>
        <v>0</v>
      </c>
      <c r="N52" s="8">
        <f t="shared" si="4"/>
        <v>174</v>
      </c>
    </row>
    <row r="53" ht="15.75" customHeight="1">
      <c r="A53" s="4" t="s">
        <v>231</v>
      </c>
      <c r="B53" s="4" t="s">
        <v>232</v>
      </c>
      <c r="C53" s="4" t="s">
        <v>190</v>
      </c>
      <c r="D53" s="4" t="s">
        <v>80</v>
      </c>
      <c r="E53" s="4" t="str">
        <f>IFERROR(VLOOKUP(D53,'Supplier Master'!$A$2:$F$16,2,FALSE()),"Supplier not found")</f>
        <v>FreshCart Suppliers</v>
      </c>
      <c r="F53" s="8">
        <v>694.0</v>
      </c>
      <c r="G53" s="8">
        <v>87.0</v>
      </c>
      <c r="H53" s="7">
        <v>119.0</v>
      </c>
      <c r="I53" s="7">
        <f t="shared" si="1"/>
        <v>82586</v>
      </c>
      <c r="J53" s="9">
        <v>46078.0</v>
      </c>
      <c r="K53" s="8">
        <f>IFERROR(VLOOKUP(D53,'Supplier Master'!$A$2:$F$16,5,FALSE()),0)</f>
        <v>3</v>
      </c>
      <c r="L53" s="4" t="str">
        <f t="shared" si="2"/>
        <v>In Stock</v>
      </c>
      <c r="M53" s="8">
        <f t="shared" si="3"/>
        <v>0</v>
      </c>
      <c r="N53" s="8">
        <f t="shared" si="4"/>
        <v>245</v>
      </c>
    </row>
    <row r="54" ht="15.75" customHeight="1">
      <c r="A54" s="4" t="s">
        <v>233</v>
      </c>
      <c r="B54" s="4" t="s">
        <v>234</v>
      </c>
      <c r="C54" s="4" t="s">
        <v>190</v>
      </c>
      <c r="D54" s="4" t="s">
        <v>118</v>
      </c>
      <c r="E54" s="4" t="str">
        <f>IFERROR(VLOOKUP(D54,'Supplier Master'!$A$2:$F$16,2,FALSE()),"Supplier not found")</f>
        <v>Jasmine General Trading</v>
      </c>
      <c r="F54" s="8">
        <v>634.0</v>
      </c>
      <c r="G54" s="8">
        <v>57.0</v>
      </c>
      <c r="H54" s="7">
        <v>59.0</v>
      </c>
      <c r="I54" s="7">
        <f t="shared" si="1"/>
        <v>37406</v>
      </c>
      <c r="J54" s="9">
        <v>46168.0</v>
      </c>
      <c r="K54" s="8">
        <f>IFERROR(VLOOKUP(D54,'Supplier Master'!$A$2:$F$16,5,FALSE()),0)</f>
        <v>4</v>
      </c>
      <c r="L54" s="4" t="str">
        <f t="shared" si="2"/>
        <v>In Stock</v>
      </c>
      <c r="M54" s="8">
        <f t="shared" si="3"/>
        <v>0</v>
      </c>
      <c r="N54" s="8">
        <f t="shared" si="4"/>
        <v>155</v>
      </c>
    </row>
    <row r="55" ht="15.75" customHeight="1">
      <c r="A55" s="4" t="s">
        <v>235</v>
      </c>
      <c r="B55" s="4" t="s">
        <v>236</v>
      </c>
      <c r="C55" s="4" t="s">
        <v>190</v>
      </c>
      <c r="D55" s="4" t="s">
        <v>70</v>
      </c>
      <c r="E55" s="4" t="str">
        <f>IFERROR(VLOOKUP(D55,'Supplier Master'!$A$2:$F$16,2,FALSE()),"Supplier not found")</f>
        <v>Evergreen Traders</v>
      </c>
      <c r="F55" s="8">
        <v>64.0</v>
      </c>
      <c r="G55" s="8">
        <v>24.0</v>
      </c>
      <c r="H55" s="7">
        <v>549.0</v>
      </c>
      <c r="I55" s="7">
        <f t="shared" si="1"/>
        <v>35136</v>
      </c>
      <c r="J55" s="9">
        <v>46212.0</v>
      </c>
      <c r="K55" s="8">
        <f>IFERROR(VLOOKUP(D55,'Supplier Master'!$A$2:$F$16,5,FALSE()),0)</f>
        <v>2</v>
      </c>
      <c r="L55" s="4" t="str">
        <f t="shared" si="2"/>
        <v>In Stock</v>
      </c>
      <c r="M55" s="8">
        <f t="shared" si="3"/>
        <v>0</v>
      </c>
      <c r="N55" s="8">
        <f t="shared" si="4"/>
        <v>111</v>
      </c>
    </row>
    <row r="56" ht="15.75" customHeight="1">
      <c r="A56" s="4" t="s">
        <v>237</v>
      </c>
      <c r="B56" s="4" t="s">
        <v>238</v>
      </c>
      <c r="C56" s="4" t="s">
        <v>190</v>
      </c>
      <c r="D56" s="4" t="s">
        <v>70</v>
      </c>
      <c r="E56" s="4" t="str">
        <f>IFERROR(VLOOKUP(D56,'Supplier Master'!$A$2:$F$16,2,FALSE()),"Supplier not found")</f>
        <v>Evergreen Traders</v>
      </c>
      <c r="F56" s="8">
        <v>813.0</v>
      </c>
      <c r="G56" s="8">
        <v>76.0</v>
      </c>
      <c r="H56" s="7">
        <v>159.0</v>
      </c>
      <c r="I56" s="7">
        <f t="shared" si="1"/>
        <v>129267</v>
      </c>
      <c r="J56" s="9">
        <v>46224.0</v>
      </c>
      <c r="K56" s="8">
        <f>IFERROR(VLOOKUP(D56,'Supplier Master'!$A$2:$F$16,5,FALSE()),0)</f>
        <v>2</v>
      </c>
      <c r="L56" s="4" t="str">
        <f t="shared" si="2"/>
        <v>In Stock</v>
      </c>
      <c r="M56" s="8">
        <f t="shared" si="3"/>
        <v>0</v>
      </c>
      <c r="N56" s="8">
        <f t="shared" si="4"/>
        <v>99</v>
      </c>
    </row>
    <row r="57" ht="15.75" customHeight="1">
      <c r="A57" s="4" t="s">
        <v>239</v>
      </c>
      <c r="B57" s="4" t="s">
        <v>240</v>
      </c>
      <c r="C57" s="4" t="s">
        <v>190</v>
      </c>
      <c r="D57" s="4" t="s">
        <v>80</v>
      </c>
      <c r="E57" s="4" t="str">
        <f>IFERROR(VLOOKUP(D57,'Supplier Master'!$A$2:$F$16,2,FALSE()),"Supplier not found")</f>
        <v>FreshCart Suppliers</v>
      </c>
      <c r="F57" s="8">
        <v>945.0</v>
      </c>
      <c r="G57" s="8">
        <v>78.0</v>
      </c>
      <c r="H57" s="7">
        <v>99.0</v>
      </c>
      <c r="I57" s="7">
        <f t="shared" si="1"/>
        <v>93555</v>
      </c>
      <c r="J57" s="9">
        <v>46258.0</v>
      </c>
      <c r="K57" s="8">
        <f>IFERROR(VLOOKUP(D57,'Supplier Master'!$A$2:$F$16,5,FALSE()),0)</f>
        <v>3</v>
      </c>
      <c r="L57" s="4" t="str">
        <f t="shared" si="2"/>
        <v>In Stock</v>
      </c>
      <c r="M57" s="8">
        <f t="shared" si="3"/>
        <v>0</v>
      </c>
      <c r="N57" s="8">
        <f t="shared" si="4"/>
        <v>65</v>
      </c>
    </row>
    <row r="58" ht="15.75" customHeight="1">
      <c r="A58" s="4" t="s">
        <v>241</v>
      </c>
      <c r="B58" s="4" t="s">
        <v>242</v>
      </c>
      <c r="C58" s="4" t="s">
        <v>190</v>
      </c>
      <c r="D58" s="4" t="s">
        <v>70</v>
      </c>
      <c r="E58" s="4" t="str">
        <f>IFERROR(VLOOKUP(D58,'Supplier Master'!$A$2:$F$16,2,FALSE()),"Supplier not found")</f>
        <v>Evergreen Traders</v>
      </c>
      <c r="F58" s="8">
        <v>450.0</v>
      </c>
      <c r="G58" s="8">
        <v>64.0</v>
      </c>
      <c r="H58" s="7">
        <v>109.0</v>
      </c>
      <c r="I58" s="7">
        <f t="shared" si="1"/>
        <v>49050</v>
      </c>
      <c r="J58" s="9">
        <v>46143.0</v>
      </c>
      <c r="K58" s="8">
        <f>IFERROR(VLOOKUP(D58,'Supplier Master'!$A$2:$F$16,5,FALSE()),0)</f>
        <v>2</v>
      </c>
      <c r="L58" s="4" t="str">
        <f t="shared" si="2"/>
        <v>In Stock</v>
      </c>
      <c r="M58" s="8">
        <f t="shared" si="3"/>
        <v>0</v>
      </c>
      <c r="N58" s="8">
        <f t="shared" si="4"/>
        <v>180</v>
      </c>
    </row>
    <row r="59" ht="15.75" customHeight="1">
      <c r="A59" s="4" t="s">
        <v>243</v>
      </c>
      <c r="B59" s="4" t="s">
        <v>244</v>
      </c>
      <c r="C59" s="4" t="s">
        <v>190</v>
      </c>
      <c r="D59" s="4" t="s">
        <v>70</v>
      </c>
      <c r="E59" s="4" t="str">
        <f>IFERROR(VLOOKUP(D59,'Supplier Master'!$A$2:$F$16,2,FALSE()),"Supplier not found")</f>
        <v>Evergreen Traders</v>
      </c>
      <c r="F59" s="8">
        <v>394.0</v>
      </c>
      <c r="G59" s="8">
        <v>38.0</v>
      </c>
      <c r="H59" s="7">
        <v>89.0</v>
      </c>
      <c r="I59" s="7">
        <f t="shared" si="1"/>
        <v>35066</v>
      </c>
      <c r="J59" s="9">
        <v>46127.0</v>
      </c>
      <c r="K59" s="8">
        <f>IFERROR(VLOOKUP(D59,'Supplier Master'!$A$2:$F$16,5,FALSE()),0)</f>
        <v>2</v>
      </c>
      <c r="L59" s="4" t="str">
        <f t="shared" si="2"/>
        <v>In Stock</v>
      </c>
      <c r="M59" s="8">
        <f t="shared" si="3"/>
        <v>0</v>
      </c>
      <c r="N59" s="8">
        <f t="shared" si="4"/>
        <v>196</v>
      </c>
    </row>
    <row r="60" ht="15.75" customHeight="1">
      <c r="A60" s="4" t="s">
        <v>245</v>
      </c>
      <c r="B60" s="4" t="s">
        <v>246</v>
      </c>
      <c r="C60" s="4" t="s">
        <v>190</v>
      </c>
      <c r="D60" s="4" t="s">
        <v>80</v>
      </c>
      <c r="E60" s="4" t="str">
        <f>IFERROR(VLOOKUP(D60,'Supplier Master'!$A$2:$F$16,2,FALSE()),"Supplier not found")</f>
        <v>FreshCart Suppliers</v>
      </c>
      <c r="F60" s="8">
        <v>307.0</v>
      </c>
      <c r="G60" s="8">
        <v>96.0</v>
      </c>
      <c r="H60" s="7">
        <v>449.0</v>
      </c>
      <c r="I60" s="7">
        <f t="shared" si="1"/>
        <v>137843</v>
      </c>
      <c r="J60" s="9">
        <v>46140.0</v>
      </c>
      <c r="K60" s="8">
        <f>IFERROR(VLOOKUP(D60,'Supplier Master'!$A$2:$F$16,5,FALSE()),0)</f>
        <v>3</v>
      </c>
      <c r="L60" s="4" t="str">
        <f t="shared" si="2"/>
        <v>In Stock</v>
      </c>
      <c r="M60" s="8">
        <f t="shared" si="3"/>
        <v>0</v>
      </c>
      <c r="N60" s="8">
        <f t="shared" si="4"/>
        <v>183</v>
      </c>
    </row>
    <row r="61" ht="15.75" customHeight="1">
      <c r="A61" s="4" t="s">
        <v>247</v>
      </c>
      <c r="B61" s="4" t="s">
        <v>248</v>
      </c>
      <c r="C61" s="4" t="s">
        <v>190</v>
      </c>
      <c r="D61" s="4" t="s">
        <v>80</v>
      </c>
      <c r="E61" s="4" t="str">
        <f>IFERROR(VLOOKUP(D61,'Supplier Master'!$A$2:$F$16,2,FALSE()),"Supplier not found")</f>
        <v>FreshCart Suppliers</v>
      </c>
      <c r="F61" s="8">
        <v>194.0</v>
      </c>
      <c r="G61" s="8">
        <v>28.0</v>
      </c>
      <c r="H61" s="7">
        <v>55.0</v>
      </c>
      <c r="I61" s="7">
        <f t="shared" si="1"/>
        <v>10670</v>
      </c>
      <c r="J61" s="9">
        <v>46319.0</v>
      </c>
      <c r="K61" s="8">
        <f>IFERROR(VLOOKUP(D61,'Supplier Master'!$A$2:$F$16,5,FALSE()),0)</f>
        <v>3</v>
      </c>
      <c r="L61" s="4" t="str">
        <f t="shared" si="2"/>
        <v>In Stock</v>
      </c>
      <c r="M61" s="8">
        <f t="shared" si="3"/>
        <v>0</v>
      </c>
      <c r="N61" s="8">
        <f t="shared" si="4"/>
        <v>4</v>
      </c>
    </row>
    <row r="62" ht="15.75" customHeight="1">
      <c r="A62" s="4" t="s">
        <v>249</v>
      </c>
      <c r="B62" s="4" t="s">
        <v>250</v>
      </c>
      <c r="C62" s="4" t="s">
        <v>251</v>
      </c>
      <c r="D62" s="4" t="s">
        <v>49</v>
      </c>
      <c r="E62" s="4" t="str">
        <f>IFERROR(VLOOKUP(D62,'Supplier Master'!$A$2:$F$16,2,FALSE()),"Supplier not found")</f>
        <v>Cedar Supply Co.</v>
      </c>
      <c r="F62" s="8">
        <v>985.0</v>
      </c>
      <c r="G62" s="8">
        <v>89.0</v>
      </c>
      <c r="H62" s="7">
        <v>349.0</v>
      </c>
      <c r="I62" s="7">
        <f t="shared" si="1"/>
        <v>343765</v>
      </c>
      <c r="J62" s="9">
        <v>46259.0</v>
      </c>
      <c r="K62" s="8">
        <f>IFERROR(VLOOKUP(D62,'Supplier Master'!$A$2:$F$16,5,FALSE()),0)</f>
        <v>4</v>
      </c>
      <c r="L62" s="4" t="str">
        <f t="shared" si="2"/>
        <v>In Stock</v>
      </c>
      <c r="M62" s="8">
        <f t="shared" si="3"/>
        <v>0</v>
      </c>
      <c r="N62" s="8">
        <f t="shared" si="4"/>
        <v>64</v>
      </c>
    </row>
    <row r="63" ht="15.75" customHeight="1">
      <c r="A63" s="4" t="s">
        <v>252</v>
      </c>
      <c r="B63" s="4" t="s">
        <v>253</v>
      </c>
      <c r="C63" s="4" t="s">
        <v>251</v>
      </c>
      <c r="D63" s="4" t="s">
        <v>118</v>
      </c>
      <c r="E63" s="4" t="str">
        <f>IFERROR(VLOOKUP(D63,'Supplier Master'!$A$2:$F$16,2,FALSE()),"Supplier not found")</f>
        <v>Jasmine General Trading</v>
      </c>
      <c r="F63" s="8">
        <v>0.0</v>
      </c>
      <c r="G63" s="8">
        <v>34.0</v>
      </c>
      <c r="H63" s="7">
        <v>149.0</v>
      </c>
      <c r="I63" s="7">
        <f t="shared" si="1"/>
        <v>0</v>
      </c>
      <c r="J63" s="9">
        <v>46156.0</v>
      </c>
      <c r="K63" s="8">
        <f>IFERROR(VLOOKUP(D63,'Supplier Master'!$A$2:$F$16,5,FALSE()),0)</f>
        <v>4</v>
      </c>
      <c r="L63" s="4" t="str">
        <f t="shared" si="2"/>
        <v>Out of Stock</v>
      </c>
      <c r="M63" s="8">
        <f t="shared" si="3"/>
        <v>68</v>
      </c>
      <c r="N63" s="8">
        <f t="shared" si="4"/>
        <v>167</v>
      </c>
    </row>
    <row r="64" ht="15.75" customHeight="1">
      <c r="A64" s="4" t="s">
        <v>254</v>
      </c>
      <c r="B64" s="4" t="s">
        <v>255</v>
      </c>
      <c r="C64" s="4" t="s">
        <v>251</v>
      </c>
      <c r="D64" s="4" t="s">
        <v>130</v>
      </c>
      <c r="E64" s="4" t="str">
        <f>IFERROR(VLOOKUP(D64,'Supplier Master'!$A$2:$F$16,2,FALSE()),"Supplier not found")</f>
        <v>Keystone Products</v>
      </c>
      <c r="F64" s="8">
        <v>563.0</v>
      </c>
      <c r="G64" s="8">
        <v>81.0</v>
      </c>
      <c r="H64" s="7">
        <v>99.0</v>
      </c>
      <c r="I64" s="7">
        <f t="shared" si="1"/>
        <v>55737</v>
      </c>
      <c r="J64" s="9">
        <v>46295.0</v>
      </c>
      <c r="K64" s="8">
        <f>IFERROR(VLOOKUP(D64,'Supplier Master'!$A$2:$F$16,5,FALSE()),0)</f>
        <v>6</v>
      </c>
      <c r="L64" s="4" t="str">
        <f t="shared" si="2"/>
        <v>In Stock</v>
      </c>
      <c r="M64" s="8">
        <f t="shared" si="3"/>
        <v>0</v>
      </c>
      <c r="N64" s="8">
        <f t="shared" si="4"/>
        <v>28</v>
      </c>
    </row>
    <row r="65" ht="15.75" customHeight="1">
      <c r="A65" s="4" t="s">
        <v>256</v>
      </c>
      <c r="B65" s="4" t="s">
        <v>257</v>
      </c>
      <c r="C65" s="4" t="s">
        <v>251</v>
      </c>
      <c r="D65" s="4" t="s">
        <v>118</v>
      </c>
      <c r="E65" s="4" t="str">
        <f>IFERROR(VLOOKUP(D65,'Supplier Master'!$A$2:$F$16,2,FALSE()),"Supplier not found")</f>
        <v>Jasmine General Trading</v>
      </c>
      <c r="F65" s="8">
        <v>302.0</v>
      </c>
      <c r="G65" s="8">
        <v>56.0</v>
      </c>
      <c r="H65" s="7">
        <v>199.0</v>
      </c>
      <c r="I65" s="7">
        <f t="shared" si="1"/>
        <v>60098</v>
      </c>
      <c r="J65" s="9">
        <v>46098.0</v>
      </c>
      <c r="K65" s="8">
        <f>IFERROR(VLOOKUP(D65,'Supplier Master'!$A$2:$F$16,5,FALSE()),0)</f>
        <v>4</v>
      </c>
      <c r="L65" s="4" t="str">
        <f t="shared" si="2"/>
        <v>In Stock</v>
      </c>
      <c r="M65" s="8">
        <f t="shared" si="3"/>
        <v>0</v>
      </c>
      <c r="N65" s="8">
        <f t="shared" si="4"/>
        <v>225</v>
      </c>
    </row>
    <row r="66" ht="15.75" customHeight="1">
      <c r="A66" s="4" t="s">
        <v>258</v>
      </c>
      <c r="B66" s="4" t="s">
        <v>259</v>
      </c>
      <c r="C66" s="4" t="s">
        <v>251</v>
      </c>
      <c r="D66" s="4" t="s">
        <v>118</v>
      </c>
      <c r="E66" s="4" t="str">
        <f>IFERROR(VLOOKUP(D66,'Supplier Master'!$A$2:$F$16,2,FALSE()),"Supplier not found")</f>
        <v>Jasmine General Trading</v>
      </c>
      <c r="F66" s="8">
        <v>432.0</v>
      </c>
      <c r="G66" s="8">
        <v>46.0</v>
      </c>
      <c r="H66" s="7">
        <v>129.0</v>
      </c>
      <c r="I66" s="7">
        <f t="shared" si="1"/>
        <v>55728</v>
      </c>
      <c r="J66" s="9">
        <v>46056.0</v>
      </c>
      <c r="K66" s="8">
        <f>IFERROR(VLOOKUP(D66,'Supplier Master'!$A$2:$F$16,5,FALSE()),0)</f>
        <v>4</v>
      </c>
      <c r="L66" s="4" t="str">
        <f t="shared" si="2"/>
        <v>In Stock</v>
      </c>
      <c r="M66" s="8">
        <f t="shared" si="3"/>
        <v>0</v>
      </c>
      <c r="N66" s="8">
        <f t="shared" si="4"/>
        <v>267</v>
      </c>
    </row>
    <row r="67" ht="15.75" customHeight="1">
      <c r="A67" s="4" t="s">
        <v>260</v>
      </c>
      <c r="B67" s="4" t="s">
        <v>261</v>
      </c>
      <c r="C67" s="4" t="s">
        <v>251</v>
      </c>
      <c r="D67" s="4" t="s">
        <v>118</v>
      </c>
      <c r="E67" s="4" t="str">
        <f>IFERROR(VLOOKUP(D67,'Supplier Master'!$A$2:$F$16,2,FALSE()),"Supplier not found")</f>
        <v>Jasmine General Trading</v>
      </c>
      <c r="F67" s="8">
        <v>233.0</v>
      </c>
      <c r="G67" s="8">
        <v>35.0</v>
      </c>
      <c r="H67" s="7">
        <v>89.0</v>
      </c>
      <c r="I67" s="7">
        <f t="shared" si="1"/>
        <v>20737</v>
      </c>
      <c r="J67" s="9">
        <v>46161.0</v>
      </c>
      <c r="K67" s="8">
        <f>IFERROR(VLOOKUP(D67,'Supplier Master'!$A$2:$F$16,5,FALSE()),0)</f>
        <v>4</v>
      </c>
      <c r="L67" s="4" t="str">
        <f t="shared" si="2"/>
        <v>In Stock</v>
      </c>
      <c r="M67" s="8">
        <f t="shared" si="3"/>
        <v>0</v>
      </c>
      <c r="N67" s="8">
        <f t="shared" si="4"/>
        <v>162</v>
      </c>
    </row>
    <row r="68" ht="15.75" customHeight="1">
      <c r="A68" s="4" t="s">
        <v>262</v>
      </c>
      <c r="B68" s="4" t="s">
        <v>263</v>
      </c>
      <c r="C68" s="4" t="s">
        <v>251</v>
      </c>
      <c r="D68" s="4" t="s">
        <v>118</v>
      </c>
      <c r="E68" s="4" t="str">
        <f>IFERROR(VLOOKUP(D68,'Supplier Master'!$A$2:$F$16,2,FALSE()),"Supplier not found")</f>
        <v>Jasmine General Trading</v>
      </c>
      <c r="F68" s="8">
        <v>297.0</v>
      </c>
      <c r="G68" s="8">
        <v>38.0</v>
      </c>
      <c r="H68" s="7">
        <v>79.0</v>
      </c>
      <c r="I68" s="7">
        <f t="shared" si="1"/>
        <v>23463</v>
      </c>
      <c r="J68" s="9">
        <v>46305.0</v>
      </c>
      <c r="K68" s="8">
        <f>IFERROR(VLOOKUP(D68,'Supplier Master'!$A$2:$F$16,5,FALSE()),0)</f>
        <v>4</v>
      </c>
      <c r="L68" s="4" t="str">
        <f t="shared" si="2"/>
        <v>In Stock</v>
      </c>
      <c r="M68" s="8">
        <f t="shared" si="3"/>
        <v>0</v>
      </c>
      <c r="N68" s="8">
        <f t="shared" si="4"/>
        <v>18</v>
      </c>
    </row>
    <row r="69" ht="15.75" customHeight="1">
      <c r="A69" s="4" t="s">
        <v>264</v>
      </c>
      <c r="B69" s="4" t="s">
        <v>265</v>
      </c>
      <c r="C69" s="4" t="s">
        <v>251</v>
      </c>
      <c r="D69" s="4" t="s">
        <v>98</v>
      </c>
      <c r="E69" s="4" t="str">
        <f>IFERROR(VLOOKUP(D69,'Supplier Master'!$A$2:$F$16,2,FALSE()),"Supplier not found")</f>
        <v>Horizon Merchants</v>
      </c>
      <c r="F69" s="8">
        <v>245.0</v>
      </c>
      <c r="G69" s="8">
        <v>45.0</v>
      </c>
      <c r="H69" s="7">
        <v>129.0</v>
      </c>
      <c r="I69" s="7">
        <f t="shared" si="1"/>
        <v>31605</v>
      </c>
      <c r="J69" s="9">
        <v>46254.0</v>
      </c>
      <c r="K69" s="8">
        <f>IFERROR(VLOOKUP(D69,'Supplier Master'!$A$2:$F$16,5,FALSE()),0)</f>
        <v>5</v>
      </c>
      <c r="L69" s="4" t="str">
        <f t="shared" si="2"/>
        <v>In Stock</v>
      </c>
      <c r="M69" s="8">
        <f t="shared" si="3"/>
        <v>0</v>
      </c>
      <c r="N69" s="8">
        <f t="shared" si="4"/>
        <v>69</v>
      </c>
    </row>
    <row r="70" ht="15.75" customHeight="1">
      <c r="A70" s="4" t="s">
        <v>266</v>
      </c>
      <c r="B70" s="4" t="s">
        <v>267</v>
      </c>
      <c r="C70" s="4" t="s">
        <v>251</v>
      </c>
      <c r="D70" s="4" t="s">
        <v>49</v>
      </c>
      <c r="E70" s="4" t="str">
        <f>IFERROR(VLOOKUP(D70,'Supplier Master'!$A$2:$F$16,2,FALSE()),"Supplier not found")</f>
        <v>Cedar Supply Co.</v>
      </c>
      <c r="F70" s="8">
        <v>704.0</v>
      </c>
      <c r="G70" s="8">
        <v>69.0</v>
      </c>
      <c r="H70" s="7">
        <v>39.0</v>
      </c>
      <c r="I70" s="7">
        <f t="shared" si="1"/>
        <v>27456</v>
      </c>
      <c r="J70" s="9">
        <v>46241.0</v>
      </c>
      <c r="K70" s="8">
        <f>IFERROR(VLOOKUP(D70,'Supplier Master'!$A$2:$F$16,5,FALSE()),0)</f>
        <v>4</v>
      </c>
      <c r="L70" s="4" t="str">
        <f t="shared" si="2"/>
        <v>In Stock</v>
      </c>
      <c r="M70" s="8">
        <f t="shared" si="3"/>
        <v>0</v>
      </c>
      <c r="N70" s="8">
        <f t="shared" si="4"/>
        <v>82</v>
      </c>
    </row>
    <row r="71" ht="15.75" customHeight="1">
      <c r="A71" s="4" t="s">
        <v>268</v>
      </c>
      <c r="B71" s="4" t="s">
        <v>269</v>
      </c>
      <c r="C71" s="4" t="s">
        <v>251</v>
      </c>
      <c r="D71" s="4" t="s">
        <v>130</v>
      </c>
      <c r="E71" s="4" t="str">
        <f>IFERROR(VLOOKUP(D71,'Supplier Master'!$A$2:$F$16,2,FALSE()),"Supplier not found")</f>
        <v>Keystone Products</v>
      </c>
      <c r="F71" s="8">
        <v>366.0</v>
      </c>
      <c r="G71" s="8">
        <v>82.0</v>
      </c>
      <c r="H71" s="7">
        <v>199.0</v>
      </c>
      <c r="I71" s="7">
        <f t="shared" si="1"/>
        <v>72834</v>
      </c>
      <c r="J71" s="9">
        <v>46192.0</v>
      </c>
      <c r="K71" s="8">
        <f>IFERROR(VLOOKUP(D71,'Supplier Master'!$A$2:$F$16,5,FALSE()),0)</f>
        <v>6</v>
      </c>
      <c r="L71" s="4" t="str">
        <f t="shared" si="2"/>
        <v>In Stock</v>
      </c>
      <c r="M71" s="8">
        <f t="shared" si="3"/>
        <v>0</v>
      </c>
      <c r="N71" s="8">
        <f t="shared" si="4"/>
        <v>131</v>
      </c>
    </row>
    <row r="72" ht="15.75" customHeight="1">
      <c r="A72" s="4" t="s">
        <v>270</v>
      </c>
      <c r="B72" s="4" t="s">
        <v>271</v>
      </c>
      <c r="C72" s="4" t="s">
        <v>251</v>
      </c>
      <c r="D72" s="4" t="s">
        <v>98</v>
      </c>
      <c r="E72" s="4" t="str">
        <f>IFERROR(VLOOKUP(D72,'Supplier Master'!$A$2:$F$16,2,FALSE()),"Supplier not found")</f>
        <v>Horizon Merchants</v>
      </c>
      <c r="F72" s="8">
        <v>204.0</v>
      </c>
      <c r="G72" s="8">
        <v>19.0</v>
      </c>
      <c r="H72" s="7">
        <v>149.0</v>
      </c>
      <c r="I72" s="7">
        <f t="shared" si="1"/>
        <v>30396</v>
      </c>
      <c r="J72" s="9">
        <v>46203.0</v>
      </c>
      <c r="K72" s="8">
        <f>IFERROR(VLOOKUP(D72,'Supplier Master'!$A$2:$F$16,5,FALSE()),0)</f>
        <v>5</v>
      </c>
      <c r="L72" s="4" t="str">
        <f t="shared" si="2"/>
        <v>In Stock</v>
      </c>
      <c r="M72" s="8">
        <f t="shared" si="3"/>
        <v>0</v>
      </c>
      <c r="N72" s="8">
        <f t="shared" si="4"/>
        <v>120</v>
      </c>
    </row>
    <row r="73" ht="15.75" customHeight="1">
      <c r="A73" s="4" t="s">
        <v>272</v>
      </c>
      <c r="B73" s="4" t="s">
        <v>273</v>
      </c>
      <c r="C73" s="4" t="s">
        <v>251</v>
      </c>
      <c r="D73" s="4" t="s">
        <v>49</v>
      </c>
      <c r="E73" s="4" t="str">
        <f>IFERROR(VLOOKUP(D73,'Supplier Master'!$A$2:$F$16,2,FALSE()),"Supplier not found")</f>
        <v>Cedar Supply Co.</v>
      </c>
      <c r="F73" s="8">
        <v>497.0</v>
      </c>
      <c r="G73" s="8">
        <v>76.0</v>
      </c>
      <c r="H73" s="7">
        <v>49.0</v>
      </c>
      <c r="I73" s="7">
        <f t="shared" si="1"/>
        <v>24353</v>
      </c>
      <c r="J73" s="9">
        <v>46282.0</v>
      </c>
      <c r="K73" s="8">
        <f>IFERROR(VLOOKUP(D73,'Supplier Master'!$A$2:$F$16,5,FALSE()),0)</f>
        <v>4</v>
      </c>
      <c r="L73" s="4" t="str">
        <f t="shared" si="2"/>
        <v>In Stock</v>
      </c>
      <c r="M73" s="8">
        <f t="shared" si="3"/>
        <v>0</v>
      </c>
      <c r="N73" s="8">
        <f t="shared" si="4"/>
        <v>41</v>
      </c>
    </row>
    <row r="74" ht="15.75" customHeight="1">
      <c r="A74" s="4" t="s">
        <v>274</v>
      </c>
      <c r="B74" s="4" t="s">
        <v>275</v>
      </c>
      <c r="C74" s="4" t="s">
        <v>251</v>
      </c>
      <c r="D74" s="4" t="s">
        <v>118</v>
      </c>
      <c r="E74" s="4" t="str">
        <f>IFERROR(VLOOKUP(D74,'Supplier Master'!$A$2:$F$16,2,FALSE()),"Supplier not found")</f>
        <v>Jasmine General Trading</v>
      </c>
      <c r="F74" s="8">
        <v>140.0</v>
      </c>
      <c r="G74" s="8">
        <v>37.0</v>
      </c>
      <c r="H74" s="7">
        <v>29.0</v>
      </c>
      <c r="I74" s="7">
        <f t="shared" si="1"/>
        <v>4060</v>
      </c>
      <c r="J74" s="9">
        <v>46187.0</v>
      </c>
      <c r="K74" s="8">
        <f>IFERROR(VLOOKUP(D74,'Supplier Master'!$A$2:$F$16,5,FALSE()),0)</f>
        <v>4</v>
      </c>
      <c r="L74" s="4" t="str">
        <f t="shared" si="2"/>
        <v>In Stock</v>
      </c>
      <c r="M74" s="8">
        <f t="shared" si="3"/>
        <v>0</v>
      </c>
      <c r="N74" s="8">
        <f t="shared" si="4"/>
        <v>136</v>
      </c>
    </row>
    <row r="75" ht="15.75" customHeight="1">
      <c r="A75" s="4" t="s">
        <v>276</v>
      </c>
      <c r="B75" s="4" t="s">
        <v>277</v>
      </c>
      <c r="C75" s="4" t="s">
        <v>251</v>
      </c>
      <c r="D75" s="4" t="s">
        <v>98</v>
      </c>
      <c r="E75" s="4" t="str">
        <f>IFERROR(VLOOKUP(D75,'Supplier Master'!$A$2:$F$16,2,FALSE()),"Supplier not found")</f>
        <v>Horizon Merchants</v>
      </c>
      <c r="F75" s="8">
        <v>588.0</v>
      </c>
      <c r="G75" s="8">
        <v>67.0</v>
      </c>
      <c r="H75" s="7">
        <v>179.0</v>
      </c>
      <c r="I75" s="7">
        <f t="shared" si="1"/>
        <v>105252</v>
      </c>
      <c r="J75" s="9">
        <v>46291.0</v>
      </c>
      <c r="K75" s="8">
        <f>IFERROR(VLOOKUP(D75,'Supplier Master'!$A$2:$F$16,5,FALSE()),0)</f>
        <v>5</v>
      </c>
      <c r="L75" s="4" t="str">
        <f t="shared" si="2"/>
        <v>In Stock</v>
      </c>
      <c r="M75" s="8">
        <f t="shared" si="3"/>
        <v>0</v>
      </c>
      <c r="N75" s="8">
        <f t="shared" si="4"/>
        <v>32</v>
      </c>
    </row>
    <row r="76" ht="15.75" customHeight="1">
      <c r="A76" s="4" t="s">
        <v>278</v>
      </c>
      <c r="B76" s="4" t="s">
        <v>279</v>
      </c>
      <c r="C76" s="4" t="s">
        <v>251</v>
      </c>
      <c r="D76" s="4" t="s">
        <v>118</v>
      </c>
      <c r="E76" s="4" t="str">
        <f>IFERROR(VLOOKUP(D76,'Supplier Master'!$A$2:$F$16,2,FALSE()),"Supplier not found")</f>
        <v>Jasmine General Trading</v>
      </c>
      <c r="F76" s="8">
        <v>555.0</v>
      </c>
      <c r="G76" s="8">
        <v>59.0</v>
      </c>
      <c r="H76" s="7">
        <v>69.0</v>
      </c>
      <c r="I76" s="7">
        <f t="shared" si="1"/>
        <v>38295</v>
      </c>
      <c r="J76" s="9">
        <v>46204.0</v>
      </c>
      <c r="K76" s="8">
        <f>IFERROR(VLOOKUP(D76,'Supplier Master'!$A$2:$F$16,5,FALSE()),0)</f>
        <v>4</v>
      </c>
      <c r="L76" s="4" t="str">
        <f t="shared" si="2"/>
        <v>In Stock</v>
      </c>
      <c r="M76" s="8">
        <f t="shared" si="3"/>
        <v>0</v>
      </c>
      <c r="N76" s="8">
        <f t="shared" si="4"/>
        <v>119</v>
      </c>
    </row>
    <row r="77" ht="15.75" customHeight="1">
      <c r="A77" s="4" t="s">
        <v>280</v>
      </c>
      <c r="B77" s="4" t="s">
        <v>281</v>
      </c>
      <c r="C77" s="4" t="s">
        <v>251</v>
      </c>
      <c r="D77" s="4" t="s">
        <v>49</v>
      </c>
      <c r="E77" s="4" t="str">
        <f>IFERROR(VLOOKUP(D77,'Supplier Master'!$A$2:$F$16,2,FALSE()),"Supplier not found")</f>
        <v>Cedar Supply Co.</v>
      </c>
      <c r="F77" s="8">
        <v>513.0</v>
      </c>
      <c r="G77" s="8">
        <v>60.0</v>
      </c>
      <c r="H77" s="7">
        <v>59.0</v>
      </c>
      <c r="I77" s="7">
        <f t="shared" si="1"/>
        <v>30267</v>
      </c>
      <c r="J77" s="9">
        <v>46279.0</v>
      </c>
      <c r="K77" s="8">
        <f>IFERROR(VLOOKUP(D77,'Supplier Master'!$A$2:$F$16,5,FALSE()),0)</f>
        <v>4</v>
      </c>
      <c r="L77" s="4" t="str">
        <f t="shared" si="2"/>
        <v>In Stock</v>
      </c>
      <c r="M77" s="8">
        <f t="shared" si="3"/>
        <v>0</v>
      </c>
      <c r="N77" s="8">
        <f t="shared" si="4"/>
        <v>44</v>
      </c>
    </row>
    <row r="78" ht="15.75" customHeight="1">
      <c r="A78" s="4" t="s">
        <v>282</v>
      </c>
      <c r="B78" s="4" t="s">
        <v>283</v>
      </c>
      <c r="C78" s="4" t="s">
        <v>251</v>
      </c>
      <c r="D78" s="4" t="s">
        <v>118</v>
      </c>
      <c r="E78" s="4" t="str">
        <f>IFERROR(VLOOKUP(D78,'Supplier Master'!$A$2:$F$16,2,FALSE()),"Supplier not found")</f>
        <v>Jasmine General Trading</v>
      </c>
      <c r="F78" s="8">
        <v>416.0</v>
      </c>
      <c r="G78" s="8">
        <v>36.0</v>
      </c>
      <c r="H78" s="7">
        <v>99.0</v>
      </c>
      <c r="I78" s="7">
        <f t="shared" si="1"/>
        <v>41184</v>
      </c>
      <c r="J78" s="9">
        <v>46309.0</v>
      </c>
      <c r="K78" s="8">
        <f>IFERROR(VLOOKUP(D78,'Supplier Master'!$A$2:$F$16,5,FALSE()),0)</f>
        <v>4</v>
      </c>
      <c r="L78" s="4" t="str">
        <f t="shared" si="2"/>
        <v>In Stock</v>
      </c>
      <c r="M78" s="8">
        <f t="shared" si="3"/>
        <v>0</v>
      </c>
      <c r="N78" s="8">
        <f t="shared" si="4"/>
        <v>14</v>
      </c>
    </row>
    <row r="79" ht="15.75" customHeight="1">
      <c r="A79" s="4" t="s">
        <v>284</v>
      </c>
      <c r="B79" s="4" t="s">
        <v>285</v>
      </c>
      <c r="C79" s="4" t="s">
        <v>251</v>
      </c>
      <c r="D79" s="4" t="s">
        <v>49</v>
      </c>
      <c r="E79" s="4" t="str">
        <f>IFERROR(VLOOKUP(D79,'Supplier Master'!$A$2:$F$16,2,FALSE()),"Supplier not found")</f>
        <v>Cedar Supply Co.</v>
      </c>
      <c r="F79" s="8">
        <v>129.0</v>
      </c>
      <c r="G79" s="8">
        <v>18.0</v>
      </c>
      <c r="H79" s="7">
        <v>45.0</v>
      </c>
      <c r="I79" s="7">
        <f t="shared" si="1"/>
        <v>5805</v>
      </c>
      <c r="J79" s="9">
        <v>46097.0</v>
      </c>
      <c r="K79" s="8">
        <f>IFERROR(VLOOKUP(D79,'Supplier Master'!$A$2:$F$16,5,FALSE()),0)</f>
        <v>4</v>
      </c>
      <c r="L79" s="4" t="str">
        <f t="shared" si="2"/>
        <v>In Stock</v>
      </c>
      <c r="M79" s="8">
        <f t="shared" si="3"/>
        <v>0</v>
      </c>
      <c r="N79" s="8">
        <f t="shared" si="4"/>
        <v>226</v>
      </c>
    </row>
    <row r="80" ht="15.75" customHeight="1">
      <c r="A80" s="4" t="s">
        <v>286</v>
      </c>
      <c r="B80" s="4" t="s">
        <v>287</v>
      </c>
      <c r="C80" s="4" t="s">
        <v>251</v>
      </c>
      <c r="D80" s="4" t="s">
        <v>130</v>
      </c>
      <c r="E80" s="4" t="str">
        <f>IFERROR(VLOOKUP(D80,'Supplier Master'!$A$2:$F$16,2,FALSE()),"Supplier not found")</f>
        <v>Keystone Products</v>
      </c>
      <c r="F80" s="8">
        <v>590.0</v>
      </c>
      <c r="G80" s="8">
        <v>89.0</v>
      </c>
      <c r="H80" s="7">
        <v>399.0</v>
      </c>
      <c r="I80" s="7">
        <f t="shared" si="1"/>
        <v>235410</v>
      </c>
      <c r="J80" s="9">
        <v>46316.0</v>
      </c>
      <c r="K80" s="8">
        <f>IFERROR(VLOOKUP(D80,'Supplier Master'!$A$2:$F$16,5,FALSE()),0)</f>
        <v>6</v>
      </c>
      <c r="L80" s="4" t="str">
        <f t="shared" si="2"/>
        <v>In Stock</v>
      </c>
      <c r="M80" s="8">
        <f t="shared" si="3"/>
        <v>0</v>
      </c>
      <c r="N80" s="8">
        <f t="shared" si="4"/>
        <v>7</v>
      </c>
    </row>
    <row r="81" ht="15.75" customHeight="1">
      <c r="A81" s="4" t="s">
        <v>288</v>
      </c>
      <c r="B81" s="4" t="s">
        <v>289</v>
      </c>
      <c r="C81" s="4" t="s">
        <v>251</v>
      </c>
      <c r="D81" s="4" t="s">
        <v>118</v>
      </c>
      <c r="E81" s="4" t="str">
        <f>IFERROR(VLOOKUP(D81,'Supplier Master'!$A$2:$F$16,2,FALSE()),"Supplier not found")</f>
        <v>Jasmine General Trading</v>
      </c>
      <c r="F81" s="8">
        <v>284.0</v>
      </c>
      <c r="G81" s="8">
        <v>76.0</v>
      </c>
      <c r="H81" s="7">
        <v>119.0</v>
      </c>
      <c r="I81" s="7">
        <f t="shared" si="1"/>
        <v>33796</v>
      </c>
      <c r="J81" s="9">
        <v>46170.0</v>
      </c>
      <c r="K81" s="8">
        <f>IFERROR(VLOOKUP(D81,'Supplier Master'!$A$2:$F$16,5,FALSE()),0)</f>
        <v>4</v>
      </c>
      <c r="L81" s="4" t="str">
        <f t="shared" si="2"/>
        <v>In Stock</v>
      </c>
      <c r="M81" s="8">
        <f t="shared" si="3"/>
        <v>0</v>
      </c>
      <c r="N81" s="8">
        <f t="shared" si="4"/>
        <v>153</v>
      </c>
    </row>
    <row r="82" ht="15.75" customHeight="1">
      <c r="A82" s="4" t="s">
        <v>290</v>
      </c>
      <c r="B82" s="4" t="s">
        <v>291</v>
      </c>
      <c r="C82" s="4" t="s">
        <v>251</v>
      </c>
      <c r="D82" s="4" t="s">
        <v>130</v>
      </c>
      <c r="E82" s="4" t="str">
        <f>IFERROR(VLOOKUP(D82,'Supplier Master'!$A$2:$F$16,2,FALSE()),"Supplier not found")</f>
        <v>Keystone Products</v>
      </c>
      <c r="F82" s="8">
        <v>311.0</v>
      </c>
      <c r="G82" s="8">
        <v>24.0</v>
      </c>
      <c r="H82" s="7">
        <v>109.0</v>
      </c>
      <c r="I82" s="7">
        <f t="shared" si="1"/>
        <v>33899</v>
      </c>
      <c r="J82" s="9">
        <v>46150.0</v>
      </c>
      <c r="K82" s="8">
        <f>IFERROR(VLOOKUP(D82,'Supplier Master'!$A$2:$F$16,5,FALSE()),0)</f>
        <v>6</v>
      </c>
      <c r="L82" s="4" t="str">
        <f t="shared" si="2"/>
        <v>In Stock</v>
      </c>
      <c r="M82" s="8">
        <f t="shared" si="3"/>
        <v>0</v>
      </c>
      <c r="N82" s="8">
        <f t="shared" si="4"/>
        <v>173</v>
      </c>
    </row>
    <row r="83" ht="15.75" customHeight="1">
      <c r="A83" s="4" t="s">
        <v>292</v>
      </c>
      <c r="B83" s="4" t="s">
        <v>293</v>
      </c>
      <c r="C83" s="4" t="s">
        <v>251</v>
      </c>
      <c r="D83" s="4" t="s">
        <v>130</v>
      </c>
      <c r="E83" s="4" t="str">
        <f>IFERROR(VLOOKUP(D83,'Supplier Master'!$A$2:$F$16,2,FALSE()),"Supplier not found")</f>
        <v>Keystone Products</v>
      </c>
      <c r="F83" s="8">
        <v>636.0</v>
      </c>
      <c r="G83" s="8">
        <v>57.0</v>
      </c>
      <c r="H83" s="7">
        <v>99.0</v>
      </c>
      <c r="I83" s="7">
        <f t="shared" si="1"/>
        <v>62964</v>
      </c>
      <c r="J83" s="9">
        <v>46307.0</v>
      </c>
      <c r="K83" s="8">
        <f>IFERROR(VLOOKUP(D83,'Supplier Master'!$A$2:$F$16,5,FALSE()),0)</f>
        <v>6</v>
      </c>
      <c r="L83" s="4" t="str">
        <f t="shared" si="2"/>
        <v>In Stock</v>
      </c>
      <c r="M83" s="8">
        <f t="shared" si="3"/>
        <v>0</v>
      </c>
      <c r="N83" s="8">
        <f t="shared" si="4"/>
        <v>16</v>
      </c>
    </row>
    <row r="84" ht="15.75" customHeight="1">
      <c r="A84" s="4" t="s">
        <v>294</v>
      </c>
      <c r="B84" s="4" t="s">
        <v>295</v>
      </c>
      <c r="C84" s="4" t="s">
        <v>251</v>
      </c>
      <c r="D84" s="4" t="s">
        <v>130</v>
      </c>
      <c r="E84" s="4" t="str">
        <f>IFERROR(VLOOKUP(D84,'Supplier Master'!$A$2:$F$16,2,FALSE()),"Supplier not found")</f>
        <v>Keystone Products</v>
      </c>
      <c r="F84" s="8">
        <v>245.0</v>
      </c>
      <c r="G84" s="8">
        <v>81.0</v>
      </c>
      <c r="H84" s="7">
        <v>89.0</v>
      </c>
      <c r="I84" s="7">
        <f t="shared" si="1"/>
        <v>21805</v>
      </c>
      <c r="J84" s="9">
        <v>46164.0</v>
      </c>
      <c r="K84" s="8">
        <f>IFERROR(VLOOKUP(D84,'Supplier Master'!$A$2:$F$16,5,FALSE()),0)</f>
        <v>6</v>
      </c>
      <c r="L84" s="4" t="str">
        <f t="shared" si="2"/>
        <v>In Stock</v>
      </c>
      <c r="M84" s="8">
        <f t="shared" si="3"/>
        <v>0</v>
      </c>
      <c r="N84" s="8">
        <f t="shared" si="4"/>
        <v>159</v>
      </c>
    </row>
    <row r="85" ht="15.75" customHeight="1">
      <c r="A85" s="4" t="s">
        <v>296</v>
      </c>
      <c r="B85" s="4" t="s">
        <v>297</v>
      </c>
      <c r="C85" s="4" t="s">
        <v>251</v>
      </c>
      <c r="D85" s="4" t="s">
        <v>98</v>
      </c>
      <c r="E85" s="4" t="str">
        <f>IFERROR(VLOOKUP(D85,'Supplier Master'!$A$2:$F$16,2,FALSE()),"Supplier not found")</f>
        <v>Horizon Merchants</v>
      </c>
      <c r="F85" s="8">
        <v>326.0</v>
      </c>
      <c r="G85" s="8">
        <v>34.0</v>
      </c>
      <c r="H85" s="7">
        <v>399.0</v>
      </c>
      <c r="I85" s="7">
        <f t="shared" si="1"/>
        <v>130074</v>
      </c>
      <c r="J85" s="9">
        <v>46212.0</v>
      </c>
      <c r="K85" s="8">
        <f>IFERROR(VLOOKUP(D85,'Supplier Master'!$A$2:$F$16,5,FALSE()),0)</f>
        <v>5</v>
      </c>
      <c r="L85" s="4" t="str">
        <f t="shared" si="2"/>
        <v>In Stock</v>
      </c>
      <c r="M85" s="8">
        <f t="shared" si="3"/>
        <v>0</v>
      </c>
      <c r="N85" s="8">
        <f t="shared" si="4"/>
        <v>111</v>
      </c>
    </row>
    <row r="86" ht="15.75" customHeight="1">
      <c r="A86" s="4" t="s">
        <v>298</v>
      </c>
      <c r="B86" s="4" t="s">
        <v>299</v>
      </c>
      <c r="C86" s="4" t="s">
        <v>251</v>
      </c>
      <c r="D86" s="4" t="s">
        <v>98</v>
      </c>
      <c r="E86" s="4" t="str">
        <f>IFERROR(VLOOKUP(D86,'Supplier Master'!$A$2:$F$16,2,FALSE()),"Supplier not found")</f>
        <v>Horizon Merchants</v>
      </c>
      <c r="F86" s="8">
        <v>381.0</v>
      </c>
      <c r="G86" s="8">
        <v>51.0</v>
      </c>
      <c r="H86" s="7">
        <v>69.0</v>
      </c>
      <c r="I86" s="7">
        <f t="shared" si="1"/>
        <v>26289</v>
      </c>
      <c r="J86" s="9">
        <v>46164.0</v>
      </c>
      <c r="K86" s="8">
        <f>IFERROR(VLOOKUP(D86,'Supplier Master'!$A$2:$F$16,5,FALSE()),0)</f>
        <v>5</v>
      </c>
      <c r="L86" s="4" t="str">
        <f t="shared" si="2"/>
        <v>In Stock</v>
      </c>
      <c r="M86" s="8">
        <f t="shared" si="3"/>
        <v>0</v>
      </c>
      <c r="N86" s="8">
        <f t="shared" si="4"/>
        <v>159</v>
      </c>
    </row>
    <row r="87" ht="15.75" customHeight="1">
      <c r="A87" s="4" t="s">
        <v>300</v>
      </c>
      <c r="B87" s="4" t="s">
        <v>301</v>
      </c>
      <c r="C87" s="4" t="s">
        <v>302</v>
      </c>
      <c r="D87" s="4" t="s">
        <v>39</v>
      </c>
      <c r="E87" s="4" t="str">
        <f>IFERROR(VLOOKUP(D87,'Supplier Master'!$A$2:$F$16,2,FALSE()),"Supplier not found")</f>
        <v>BluePeak Distributors</v>
      </c>
      <c r="F87" s="8">
        <v>69.0</v>
      </c>
      <c r="G87" s="8">
        <v>25.0</v>
      </c>
      <c r="H87" s="7">
        <v>449.0</v>
      </c>
      <c r="I87" s="7">
        <f t="shared" si="1"/>
        <v>30981</v>
      </c>
      <c r="J87" s="9">
        <v>46155.0</v>
      </c>
      <c r="K87" s="8">
        <f>IFERROR(VLOOKUP(D87,'Supplier Master'!$A$2:$F$16,5,FALSE()),0)</f>
        <v>5</v>
      </c>
      <c r="L87" s="4" t="str">
        <f t="shared" si="2"/>
        <v>In Stock</v>
      </c>
      <c r="M87" s="8">
        <f t="shared" si="3"/>
        <v>0</v>
      </c>
      <c r="N87" s="8">
        <f t="shared" si="4"/>
        <v>168</v>
      </c>
    </row>
    <row r="88" ht="15.75" customHeight="1">
      <c r="A88" s="4" t="s">
        <v>303</v>
      </c>
      <c r="B88" s="4" t="s">
        <v>304</v>
      </c>
      <c r="C88" s="4" t="s">
        <v>302</v>
      </c>
      <c r="D88" s="4" t="s">
        <v>48</v>
      </c>
      <c r="E88" s="4" t="str">
        <f>IFERROR(VLOOKUP(D88,'Supplier Master'!$A$2:$F$16,2,FALSE()),"Supplier not found")</f>
        <v>Delta Retail Partners</v>
      </c>
      <c r="F88" s="8">
        <v>154.0</v>
      </c>
      <c r="G88" s="8">
        <v>36.0</v>
      </c>
      <c r="H88" s="7">
        <v>249.0</v>
      </c>
      <c r="I88" s="7">
        <f t="shared" si="1"/>
        <v>38346</v>
      </c>
      <c r="J88" s="9">
        <v>46124.0</v>
      </c>
      <c r="K88" s="8">
        <f>IFERROR(VLOOKUP(D88,'Supplier Master'!$A$2:$F$16,5,FALSE()),0)</f>
        <v>7</v>
      </c>
      <c r="L88" s="4" t="str">
        <f t="shared" si="2"/>
        <v>In Stock</v>
      </c>
      <c r="M88" s="8">
        <f t="shared" si="3"/>
        <v>0</v>
      </c>
      <c r="N88" s="8">
        <f t="shared" si="4"/>
        <v>199</v>
      </c>
    </row>
    <row r="89" ht="15.75" customHeight="1">
      <c r="A89" s="4" t="s">
        <v>305</v>
      </c>
      <c r="B89" s="4" t="s">
        <v>306</v>
      </c>
      <c r="C89" s="4" t="s">
        <v>302</v>
      </c>
      <c r="D89" s="4" t="s">
        <v>98</v>
      </c>
      <c r="E89" s="4" t="str">
        <f>IFERROR(VLOOKUP(D89,'Supplier Master'!$A$2:$F$16,2,FALSE()),"Supplier not found")</f>
        <v>Horizon Merchants</v>
      </c>
      <c r="F89" s="8">
        <v>124.0</v>
      </c>
      <c r="G89" s="8">
        <v>15.0</v>
      </c>
      <c r="H89" s="7">
        <v>799.0</v>
      </c>
      <c r="I89" s="7">
        <f t="shared" si="1"/>
        <v>99076</v>
      </c>
      <c r="J89" s="9">
        <v>46234.0</v>
      </c>
      <c r="K89" s="8">
        <f>IFERROR(VLOOKUP(D89,'Supplier Master'!$A$2:$F$16,5,FALSE()),0)</f>
        <v>5</v>
      </c>
      <c r="L89" s="4" t="str">
        <f t="shared" si="2"/>
        <v>In Stock</v>
      </c>
      <c r="M89" s="8">
        <f t="shared" si="3"/>
        <v>0</v>
      </c>
      <c r="N89" s="8">
        <f t="shared" si="4"/>
        <v>89</v>
      </c>
    </row>
    <row r="90" ht="15.75" customHeight="1">
      <c r="A90" s="4" t="s">
        <v>307</v>
      </c>
      <c r="B90" s="4" t="s">
        <v>308</v>
      </c>
      <c r="C90" s="4" t="s">
        <v>302</v>
      </c>
      <c r="D90" s="4" t="s">
        <v>39</v>
      </c>
      <c r="E90" s="4" t="str">
        <f>IFERROR(VLOOKUP(D90,'Supplier Master'!$A$2:$F$16,2,FALSE()),"Supplier not found")</f>
        <v>BluePeak Distributors</v>
      </c>
      <c r="F90" s="8">
        <v>0.0</v>
      </c>
      <c r="G90" s="8">
        <v>50.0</v>
      </c>
      <c r="H90" s="7">
        <v>899.0</v>
      </c>
      <c r="I90" s="7">
        <f t="shared" si="1"/>
        <v>0</v>
      </c>
      <c r="J90" s="9">
        <v>46118.0</v>
      </c>
      <c r="K90" s="8">
        <f>IFERROR(VLOOKUP(D90,'Supplier Master'!$A$2:$F$16,5,FALSE()),0)</f>
        <v>5</v>
      </c>
      <c r="L90" s="4" t="str">
        <f t="shared" si="2"/>
        <v>Out of Stock</v>
      </c>
      <c r="M90" s="8">
        <f t="shared" si="3"/>
        <v>100</v>
      </c>
      <c r="N90" s="8">
        <f t="shared" si="4"/>
        <v>205</v>
      </c>
    </row>
    <row r="91" ht="15.75" customHeight="1">
      <c r="A91" s="4" t="s">
        <v>309</v>
      </c>
      <c r="B91" s="4" t="s">
        <v>310</v>
      </c>
      <c r="C91" s="4" t="s">
        <v>302</v>
      </c>
      <c r="D91" s="4" t="s">
        <v>130</v>
      </c>
      <c r="E91" s="4" t="str">
        <f>IFERROR(VLOOKUP(D91,'Supplier Master'!$A$2:$F$16,2,FALSE()),"Supplier not found")</f>
        <v>Keystone Products</v>
      </c>
      <c r="F91" s="8">
        <v>671.0</v>
      </c>
      <c r="G91" s="8">
        <v>61.0</v>
      </c>
      <c r="H91" s="7">
        <v>299.0</v>
      </c>
      <c r="I91" s="7">
        <f t="shared" si="1"/>
        <v>200629</v>
      </c>
      <c r="J91" s="9">
        <v>46103.0</v>
      </c>
      <c r="K91" s="8">
        <f>IFERROR(VLOOKUP(D91,'Supplier Master'!$A$2:$F$16,5,FALSE()),0)</f>
        <v>6</v>
      </c>
      <c r="L91" s="4" t="str">
        <f t="shared" si="2"/>
        <v>In Stock</v>
      </c>
      <c r="M91" s="8">
        <f t="shared" si="3"/>
        <v>0</v>
      </c>
      <c r="N91" s="8">
        <f t="shared" si="4"/>
        <v>220</v>
      </c>
    </row>
    <row r="92" ht="15.75" customHeight="1">
      <c r="A92" s="4" t="s">
        <v>311</v>
      </c>
      <c r="B92" s="4" t="s">
        <v>312</v>
      </c>
      <c r="C92" s="4" t="s">
        <v>302</v>
      </c>
      <c r="D92" s="4" t="s">
        <v>39</v>
      </c>
      <c r="E92" s="4" t="str">
        <f>IFERROR(VLOOKUP(D92,'Supplier Master'!$A$2:$F$16,2,FALSE()),"Supplier not found")</f>
        <v>BluePeak Distributors</v>
      </c>
      <c r="F92" s="8">
        <v>190.0</v>
      </c>
      <c r="G92" s="8">
        <v>39.0</v>
      </c>
      <c r="H92" s="7">
        <v>549.0</v>
      </c>
      <c r="I92" s="7">
        <f t="shared" si="1"/>
        <v>104310</v>
      </c>
      <c r="J92" s="9">
        <v>46059.0</v>
      </c>
      <c r="K92" s="8">
        <f>IFERROR(VLOOKUP(D92,'Supplier Master'!$A$2:$F$16,5,FALSE()),0)</f>
        <v>5</v>
      </c>
      <c r="L92" s="4" t="str">
        <f t="shared" si="2"/>
        <v>In Stock</v>
      </c>
      <c r="M92" s="8">
        <f t="shared" si="3"/>
        <v>0</v>
      </c>
      <c r="N92" s="8">
        <f t="shared" si="4"/>
        <v>264</v>
      </c>
    </row>
    <row r="93" ht="15.75" customHeight="1">
      <c r="A93" s="4" t="s">
        <v>313</v>
      </c>
      <c r="B93" s="4" t="s">
        <v>314</v>
      </c>
      <c r="C93" s="4" t="s">
        <v>302</v>
      </c>
      <c r="D93" s="4" t="s">
        <v>130</v>
      </c>
      <c r="E93" s="4" t="str">
        <f>IFERROR(VLOOKUP(D93,'Supplier Master'!$A$2:$F$16,2,FALSE()),"Supplier not found")</f>
        <v>Keystone Products</v>
      </c>
      <c r="F93" s="8">
        <v>274.0</v>
      </c>
      <c r="G93" s="8">
        <v>45.0</v>
      </c>
      <c r="H93" s="7">
        <v>349.0</v>
      </c>
      <c r="I93" s="7">
        <f t="shared" si="1"/>
        <v>95626</v>
      </c>
      <c r="J93" s="9">
        <v>46250.0</v>
      </c>
      <c r="K93" s="8">
        <f>IFERROR(VLOOKUP(D93,'Supplier Master'!$A$2:$F$16,5,FALSE()),0)</f>
        <v>6</v>
      </c>
      <c r="L93" s="4" t="str">
        <f t="shared" si="2"/>
        <v>In Stock</v>
      </c>
      <c r="M93" s="8">
        <f t="shared" si="3"/>
        <v>0</v>
      </c>
      <c r="N93" s="8">
        <f t="shared" si="4"/>
        <v>73</v>
      </c>
    </row>
    <row r="94" ht="15.75" customHeight="1">
      <c r="A94" s="4" t="s">
        <v>315</v>
      </c>
      <c r="B94" s="4" t="s">
        <v>316</v>
      </c>
      <c r="C94" s="4" t="s">
        <v>302</v>
      </c>
      <c r="D94" s="4" t="s">
        <v>98</v>
      </c>
      <c r="E94" s="4" t="str">
        <f>IFERROR(VLOOKUP(D94,'Supplier Master'!$A$2:$F$16,2,FALSE()),"Supplier not found")</f>
        <v>Horizon Merchants</v>
      </c>
      <c r="F94" s="8">
        <v>426.0</v>
      </c>
      <c r="G94" s="8">
        <v>38.0</v>
      </c>
      <c r="H94" s="7">
        <v>699.0</v>
      </c>
      <c r="I94" s="7">
        <f t="shared" si="1"/>
        <v>297774</v>
      </c>
      <c r="J94" s="9">
        <v>46217.0</v>
      </c>
      <c r="K94" s="8">
        <f>IFERROR(VLOOKUP(D94,'Supplier Master'!$A$2:$F$16,5,FALSE()),0)</f>
        <v>5</v>
      </c>
      <c r="L94" s="4" t="str">
        <f t="shared" si="2"/>
        <v>In Stock</v>
      </c>
      <c r="M94" s="8">
        <f t="shared" si="3"/>
        <v>0</v>
      </c>
      <c r="N94" s="8">
        <f t="shared" si="4"/>
        <v>106</v>
      </c>
    </row>
    <row r="95" ht="15.75" customHeight="1">
      <c r="A95" s="4" t="s">
        <v>317</v>
      </c>
      <c r="B95" s="4" t="s">
        <v>318</v>
      </c>
      <c r="C95" s="4" t="s">
        <v>302</v>
      </c>
      <c r="D95" s="4" t="s">
        <v>130</v>
      </c>
      <c r="E95" s="4" t="str">
        <f>IFERROR(VLOOKUP(D95,'Supplier Master'!$A$2:$F$16,2,FALSE()),"Supplier not found")</f>
        <v>Keystone Products</v>
      </c>
      <c r="F95" s="8">
        <v>23.0</v>
      </c>
      <c r="G95" s="8">
        <v>12.0</v>
      </c>
      <c r="H95" s="7">
        <v>199.0</v>
      </c>
      <c r="I95" s="7">
        <f t="shared" si="1"/>
        <v>4577</v>
      </c>
      <c r="J95" s="9">
        <v>46164.0</v>
      </c>
      <c r="K95" s="8">
        <f>IFERROR(VLOOKUP(D95,'Supplier Master'!$A$2:$F$16,5,FALSE()),0)</f>
        <v>6</v>
      </c>
      <c r="L95" s="4" t="str">
        <f t="shared" si="2"/>
        <v>In Stock</v>
      </c>
      <c r="M95" s="8">
        <f t="shared" si="3"/>
        <v>0</v>
      </c>
      <c r="N95" s="8">
        <f t="shared" si="4"/>
        <v>159</v>
      </c>
    </row>
    <row r="96" ht="15.75" customHeight="1">
      <c r="A96" s="4" t="s">
        <v>319</v>
      </c>
      <c r="B96" s="4" t="s">
        <v>320</v>
      </c>
      <c r="C96" s="4" t="s">
        <v>302</v>
      </c>
      <c r="D96" s="4" t="s">
        <v>39</v>
      </c>
      <c r="E96" s="4" t="str">
        <f>IFERROR(VLOOKUP(D96,'Supplier Master'!$A$2:$F$16,2,FALSE()),"Supplier not found")</f>
        <v>BluePeak Distributors</v>
      </c>
      <c r="F96" s="8">
        <v>290.0</v>
      </c>
      <c r="G96" s="8">
        <v>46.0</v>
      </c>
      <c r="H96" s="7">
        <v>249.0</v>
      </c>
      <c r="I96" s="7">
        <f t="shared" si="1"/>
        <v>72210</v>
      </c>
      <c r="J96" s="9">
        <v>46241.0</v>
      </c>
      <c r="K96" s="8">
        <f>IFERROR(VLOOKUP(D96,'Supplier Master'!$A$2:$F$16,5,FALSE()),0)</f>
        <v>5</v>
      </c>
      <c r="L96" s="4" t="str">
        <f t="shared" si="2"/>
        <v>In Stock</v>
      </c>
      <c r="M96" s="8">
        <f t="shared" si="3"/>
        <v>0</v>
      </c>
      <c r="N96" s="8">
        <f t="shared" si="4"/>
        <v>82</v>
      </c>
    </row>
    <row r="97" ht="15.75" customHeight="1">
      <c r="A97" s="4" t="s">
        <v>321</v>
      </c>
      <c r="B97" s="4" t="s">
        <v>322</v>
      </c>
      <c r="C97" s="4" t="s">
        <v>302</v>
      </c>
      <c r="D97" s="4" t="s">
        <v>98</v>
      </c>
      <c r="E97" s="4" t="str">
        <f>IFERROR(VLOOKUP(D97,'Supplier Master'!$A$2:$F$16,2,FALSE()),"Supplier not found")</f>
        <v>Horizon Merchants</v>
      </c>
      <c r="F97" s="8">
        <v>233.0</v>
      </c>
      <c r="G97" s="8">
        <v>24.0</v>
      </c>
      <c r="H97" s="7">
        <v>649.0</v>
      </c>
      <c r="I97" s="7">
        <f t="shared" si="1"/>
        <v>151217</v>
      </c>
      <c r="J97" s="9">
        <v>46122.0</v>
      </c>
      <c r="K97" s="8">
        <f>IFERROR(VLOOKUP(D97,'Supplier Master'!$A$2:$F$16,5,FALSE()),0)</f>
        <v>5</v>
      </c>
      <c r="L97" s="4" t="str">
        <f t="shared" si="2"/>
        <v>In Stock</v>
      </c>
      <c r="M97" s="8">
        <f t="shared" si="3"/>
        <v>0</v>
      </c>
      <c r="N97" s="8">
        <f t="shared" si="4"/>
        <v>201</v>
      </c>
    </row>
    <row r="98" ht="15.75" customHeight="1">
      <c r="A98" s="4" t="s">
        <v>323</v>
      </c>
      <c r="B98" s="4" t="s">
        <v>324</v>
      </c>
      <c r="C98" s="4" t="s">
        <v>302</v>
      </c>
      <c r="D98" s="4" t="s">
        <v>39</v>
      </c>
      <c r="E98" s="4" t="str">
        <f>IFERROR(VLOOKUP(D98,'Supplier Master'!$A$2:$F$16,2,FALSE()),"Supplier not found")</f>
        <v>BluePeak Distributors</v>
      </c>
      <c r="F98" s="8">
        <v>220.0</v>
      </c>
      <c r="G98" s="8">
        <v>19.0</v>
      </c>
      <c r="H98" s="7">
        <v>129.0</v>
      </c>
      <c r="I98" s="7">
        <f t="shared" si="1"/>
        <v>28380</v>
      </c>
      <c r="J98" s="9">
        <v>46133.0</v>
      </c>
      <c r="K98" s="8">
        <f>IFERROR(VLOOKUP(D98,'Supplier Master'!$A$2:$F$16,5,FALSE()),0)</f>
        <v>5</v>
      </c>
      <c r="L98" s="4" t="str">
        <f t="shared" si="2"/>
        <v>In Stock</v>
      </c>
      <c r="M98" s="8">
        <f t="shared" si="3"/>
        <v>0</v>
      </c>
      <c r="N98" s="8">
        <f t="shared" si="4"/>
        <v>190</v>
      </c>
    </row>
    <row r="99" ht="15.75" customHeight="1">
      <c r="A99" s="4" t="s">
        <v>325</v>
      </c>
      <c r="B99" s="4" t="s">
        <v>326</v>
      </c>
      <c r="C99" s="4" t="s">
        <v>302</v>
      </c>
      <c r="D99" s="4" t="s">
        <v>98</v>
      </c>
      <c r="E99" s="4" t="str">
        <f>IFERROR(VLOOKUP(D99,'Supplier Master'!$A$2:$F$16,2,FALSE()),"Supplier not found")</f>
        <v>Horizon Merchants</v>
      </c>
      <c r="F99" s="8">
        <v>91.0</v>
      </c>
      <c r="G99" s="8">
        <v>23.0</v>
      </c>
      <c r="H99" s="7">
        <v>349.0</v>
      </c>
      <c r="I99" s="7">
        <f t="shared" si="1"/>
        <v>31759</v>
      </c>
      <c r="J99" s="9">
        <v>46082.0</v>
      </c>
      <c r="K99" s="8">
        <f>IFERROR(VLOOKUP(D99,'Supplier Master'!$A$2:$F$16,5,FALSE()),0)</f>
        <v>5</v>
      </c>
      <c r="L99" s="4" t="str">
        <f t="shared" si="2"/>
        <v>In Stock</v>
      </c>
      <c r="M99" s="8">
        <f t="shared" si="3"/>
        <v>0</v>
      </c>
      <c r="N99" s="8">
        <f t="shared" si="4"/>
        <v>241</v>
      </c>
    </row>
    <row r="100" ht="15.75" customHeight="1">
      <c r="A100" s="4" t="s">
        <v>327</v>
      </c>
      <c r="B100" s="4" t="s">
        <v>328</v>
      </c>
      <c r="C100" s="4" t="s">
        <v>302</v>
      </c>
      <c r="D100" s="4" t="s">
        <v>130</v>
      </c>
      <c r="E100" s="4" t="str">
        <f>IFERROR(VLOOKUP(D100,'Supplier Master'!$A$2:$F$16,2,FALSE()),"Supplier not found")</f>
        <v>Keystone Products</v>
      </c>
      <c r="F100" s="8">
        <v>338.0</v>
      </c>
      <c r="G100" s="8">
        <v>54.0</v>
      </c>
      <c r="H100" s="7">
        <v>1699.0</v>
      </c>
      <c r="I100" s="7">
        <f t="shared" si="1"/>
        <v>574262</v>
      </c>
      <c r="J100" s="9">
        <v>46311.0</v>
      </c>
      <c r="K100" s="8">
        <f>IFERROR(VLOOKUP(D100,'Supplier Master'!$A$2:$F$16,5,FALSE()),0)</f>
        <v>6</v>
      </c>
      <c r="L100" s="4" t="str">
        <f t="shared" si="2"/>
        <v>In Stock</v>
      </c>
      <c r="M100" s="8">
        <f t="shared" si="3"/>
        <v>0</v>
      </c>
      <c r="N100" s="8">
        <f t="shared" si="4"/>
        <v>12</v>
      </c>
    </row>
    <row r="101" ht="15.75" customHeight="1">
      <c r="A101" s="4" t="s">
        <v>329</v>
      </c>
      <c r="B101" s="4" t="s">
        <v>330</v>
      </c>
      <c r="C101" s="4" t="s">
        <v>302</v>
      </c>
      <c r="D101" s="4" t="s">
        <v>48</v>
      </c>
      <c r="E101" s="4" t="str">
        <f>IFERROR(VLOOKUP(D101,'Supplier Master'!$A$2:$F$16,2,FALSE()),"Supplier not found")</f>
        <v>Delta Retail Partners</v>
      </c>
      <c r="F101" s="8">
        <v>27.0</v>
      </c>
      <c r="G101" s="8">
        <v>8.0</v>
      </c>
      <c r="H101" s="7">
        <v>599.0</v>
      </c>
      <c r="I101" s="7">
        <f t="shared" si="1"/>
        <v>16173</v>
      </c>
      <c r="J101" s="9">
        <v>46200.0</v>
      </c>
      <c r="K101" s="8">
        <f>IFERROR(VLOOKUP(D101,'Supplier Master'!$A$2:$F$16,5,FALSE()),0)</f>
        <v>7</v>
      </c>
      <c r="L101" s="4" t="str">
        <f t="shared" si="2"/>
        <v>In Stock</v>
      </c>
      <c r="M101" s="8">
        <f t="shared" si="3"/>
        <v>0</v>
      </c>
      <c r="N101" s="8">
        <f t="shared" si="4"/>
        <v>123</v>
      </c>
    </row>
    <row r="102" ht="15.75" customHeight="1">
      <c r="A102" s="4" t="s">
        <v>331</v>
      </c>
      <c r="B102" s="4" t="s">
        <v>332</v>
      </c>
      <c r="C102" s="4" t="s">
        <v>302</v>
      </c>
      <c r="D102" s="4" t="s">
        <v>48</v>
      </c>
      <c r="E102" s="4" t="str">
        <f>IFERROR(VLOOKUP(D102,'Supplier Master'!$A$2:$F$16,2,FALSE()),"Supplier not found")</f>
        <v>Delta Retail Partners</v>
      </c>
      <c r="F102" s="8">
        <v>0.0</v>
      </c>
      <c r="G102" s="8">
        <v>54.0</v>
      </c>
      <c r="H102" s="7">
        <v>499.0</v>
      </c>
      <c r="I102" s="7">
        <f t="shared" si="1"/>
        <v>0</v>
      </c>
      <c r="J102" s="9">
        <v>46321.0</v>
      </c>
      <c r="K102" s="8">
        <f>IFERROR(VLOOKUP(D102,'Supplier Master'!$A$2:$F$16,5,FALSE()),0)</f>
        <v>7</v>
      </c>
      <c r="L102" s="4" t="str">
        <f t="shared" si="2"/>
        <v>Out of Stock</v>
      </c>
      <c r="M102" s="8">
        <f t="shared" si="3"/>
        <v>108</v>
      </c>
      <c r="N102" s="8">
        <f t="shared" si="4"/>
        <v>2</v>
      </c>
    </row>
    <row r="103" ht="15.75" customHeight="1">
      <c r="A103" s="4" t="s">
        <v>333</v>
      </c>
      <c r="B103" s="4" t="s">
        <v>334</v>
      </c>
      <c r="C103" s="4" t="s">
        <v>302</v>
      </c>
      <c r="D103" s="4" t="s">
        <v>98</v>
      </c>
      <c r="E103" s="4" t="str">
        <f>IFERROR(VLOOKUP(D103,'Supplier Master'!$A$2:$F$16,2,FALSE()),"Supplier not found")</f>
        <v>Horizon Merchants</v>
      </c>
      <c r="F103" s="8">
        <v>108.0</v>
      </c>
      <c r="G103" s="8">
        <v>35.0</v>
      </c>
      <c r="H103" s="7">
        <v>249.0</v>
      </c>
      <c r="I103" s="7">
        <f t="shared" si="1"/>
        <v>26892</v>
      </c>
      <c r="J103" s="9">
        <v>46217.0</v>
      </c>
      <c r="K103" s="8">
        <f>IFERROR(VLOOKUP(D103,'Supplier Master'!$A$2:$F$16,5,FALSE()),0)</f>
        <v>5</v>
      </c>
      <c r="L103" s="4" t="str">
        <f t="shared" si="2"/>
        <v>In Stock</v>
      </c>
      <c r="M103" s="8">
        <f t="shared" si="3"/>
        <v>0</v>
      </c>
      <c r="N103" s="8">
        <f t="shared" si="4"/>
        <v>106</v>
      </c>
    </row>
    <row r="104" ht="15.75" customHeight="1">
      <c r="A104" s="4" t="s">
        <v>335</v>
      </c>
      <c r="B104" s="4" t="s">
        <v>336</v>
      </c>
      <c r="C104" s="4" t="s">
        <v>302</v>
      </c>
      <c r="D104" s="4" t="s">
        <v>48</v>
      </c>
      <c r="E104" s="4" t="str">
        <f>IFERROR(VLOOKUP(D104,'Supplier Master'!$A$2:$F$16,2,FALSE()),"Supplier not found")</f>
        <v>Delta Retail Partners</v>
      </c>
      <c r="F104" s="8">
        <v>20.0</v>
      </c>
      <c r="G104" s="8">
        <v>55.0</v>
      </c>
      <c r="H104" s="7">
        <v>299.0</v>
      </c>
      <c r="I104" s="7">
        <f t="shared" si="1"/>
        <v>5980</v>
      </c>
      <c r="J104" s="9">
        <v>46180.0</v>
      </c>
      <c r="K104" s="8">
        <f>IFERROR(VLOOKUP(D104,'Supplier Master'!$A$2:$F$16,5,FALSE()),0)</f>
        <v>7</v>
      </c>
      <c r="L104" s="4" t="str">
        <f t="shared" si="2"/>
        <v>Low Stock</v>
      </c>
      <c r="M104" s="8">
        <f t="shared" si="3"/>
        <v>90</v>
      </c>
      <c r="N104" s="8">
        <f t="shared" si="4"/>
        <v>143</v>
      </c>
    </row>
    <row r="105" ht="15.75" customHeight="1">
      <c r="A105" s="4" t="s">
        <v>337</v>
      </c>
      <c r="B105" s="4" t="s">
        <v>338</v>
      </c>
      <c r="C105" s="4" t="s">
        <v>302</v>
      </c>
      <c r="D105" s="4" t="s">
        <v>39</v>
      </c>
      <c r="E105" s="4" t="str">
        <f>IFERROR(VLOOKUP(D105,'Supplier Master'!$A$2:$F$16,2,FALSE()),"Supplier not found")</f>
        <v>BluePeak Distributors</v>
      </c>
      <c r="F105" s="8">
        <v>212.0</v>
      </c>
      <c r="G105" s="8">
        <v>56.0</v>
      </c>
      <c r="H105" s="7">
        <v>399.0</v>
      </c>
      <c r="I105" s="7">
        <f t="shared" si="1"/>
        <v>84588</v>
      </c>
      <c r="J105" s="9">
        <v>46131.0</v>
      </c>
      <c r="K105" s="8">
        <f>IFERROR(VLOOKUP(D105,'Supplier Master'!$A$2:$F$16,5,FALSE()),0)</f>
        <v>5</v>
      </c>
      <c r="L105" s="4" t="str">
        <f t="shared" si="2"/>
        <v>In Stock</v>
      </c>
      <c r="M105" s="8">
        <f t="shared" si="3"/>
        <v>0</v>
      </c>
      <c r="N105" s="8">
        <f t="shared" si="4"/>
        <v>192</v>
      </c>
    </row>
    <row r="106" ht="15.75" customHeight="1">
      <c r="A106" s="4" t="s">
        <v>339</v>
      </c>
      <c r="B106" s="4" t="s">
        <v>340</v>
      </c>
      <c r="C106" s="4" t="s">
        <v>302</v>
      </c>
      <c r="D106" s="4" t="s">
        <v>98</v>
      </c>
      <c r="E106" s="4" t="str">
        <f>IFERROR(VLOOKUP(D106,'Supplier Master'!$A$2:$F$16,2,FALSE()),"Supplier not found")</f>
        <v>Horizon Merchants</v>
      </c>
      <c r="F106" s="8">
        <v>167.0</v>
      </c>
      <c r="G106" s="8">
        <v>42.0</v>
      </c>
      <c r="H106" s="7">
        <v>349.0</v>
      </c>
      <c r="I106" s="7">
        <f t="shared" si="1"/>
        <v>58283</v>
      </c>
      <c r="J106" s="9">
        <v>46165.0</v>
      </c>
      <c r="K106" s="8">
        <f>IFERROR(VLOOKUP(D106,'Supplier Master'!$A$2:$F$16,5,FALSE()),0)</f>
        <v>5</v>
      </c>
      <c r="L106" s="4" t="str">
        <f t="shared" si="2"/>
        <v>In Stock</v>
      </c>
      <c r="M106" s="8">
        <f t="shared" si="3"/>
        <v>0</v>
      </c>
      <c r="N106" s="8">
        <f t="shared" si="4"/>
        <v>158</v>
      </c>
    </row>
    <row r="107" ht="15.75" customHeight="1">
      <c r="A107" s="4" t="s">
        <v>341</v>
      </c>
      <c r="B107" s="4" t="s">
        <v>342</v>
      </c>
      <c r="C107" s="4" t="s">
        <v>302</v>
      </c>
      <c r="D107" s="4" t="s">
        <v>130</v>
      </c>
      <c r="E107" s="4" t="str">
        <f>IFERROR(VLOOKUP(D107,'Supplier Master'!$A$2:$F$16,2,FALSE()),"Supplier not found")</f>
        <v>Keystone Products</v>
      </c>
      <c r="F107" s="8">
        <v>19.0</v>
      </c>
      <c r="G107" s="8">
        <v>14.0</v>
      </c>
      <c r="H107" s="7">
        <v>599.0</v>
      </c>
      <c r="I107" s="7">
        <f t="shared" si="1"/>
        <v>11381</v>
      </c>
      <c r="J107" s="9">
        <v>46233.0</v>
      </c>
      <c r="K107" s="8">
        <f>IFERROR(VLOOKUP(D107,'Supplier Master'!$A$2:$F$16,5,FALSE()),0)</f>
        <v>6</v>
      </c>
      <c r="L107" s="4" t="str">
        <f t="shared" si="2"/>
        <v>In Stock</v>
      </c>
      <c r="M107" s="8">
        <f t="shared" si="3"/>
        <v>0</v>
      </c>
      <c r="N107" s="8">
        <f t="shared" si="4"/>
        <v>90</v>
      </c>
    </row>
    <row r="108" ht="15.75" customHeight="1">
      <c r="A108" s="4" t="s">
        <v>343</v>
      </c>
      <c r="B108" s="4" t="s">
        <v>344</v>
      </c>
      <c r="C108" s="4" t="s">
        <v>302</v>
      </c>
      <c r="D108" s="4" t="s">
        <v>98</v>
      </c>
      <c r="E108" s="4" t="str">
        <f>IFERROR(VLOOKUP(D108,'Supplier Master'!$A$2:$F$16,2,FALSE()),"Supplier not found")</f>
        <v>Horizon Merchants</v>
      </c>
      <c r="F108" s="8">
        <v>33.0</v>
      </c>
      <c r="G108" s="8">
        <v>57.0</v>
      </c>
      <c r="H108" s="7">
        <v>299.0</v>
      </c>
      <c r="I108" s="7">
        <f t="shared" si="1"/>
        <v>9867</v>
      </c>
      <c r="J108" s="9">
        <v>46306.0</v>
      </c>
      <c r="K108" s="8">
        <f>IFERROR(VLOOKUP(D108,'Supplier Master'!$A$2:$F$16,5,FALSE()),0)</f>
        <v>5</v>
      </c>
      <c r="L108" s="4" t="str">
        <f t="shared" si="2"/>
        <v>Low Stock</v>
      </c>
      <c r="M108" s="8">
        <f t="shared" si="3"/>
        <v>81</v>
      </c>
      <c r="N108" s="8">
        <f t="shared" si="4"/>
        <v>17</v>
      </c>
    </row>
    <row r="109" ht="15.75" customHeight="1">
      <c r="A109" s="4" t="s">
        <v>345</v>
      </c>
      <c r="B109" s="4" t="s">
        <v>346</v>
      </c>
      <c r="C109" s="4" t="s">
        <v>302</v>
      </c>
      <c r="D109" s="4" t="s">
        <v>39</v>
      </c>
      <c r="E109" s="4" t="str">
        <f>IFERROR(VLOOKUP(D109,'Supplier Master'!$A$2:$F$16,2,FALSE()),"Supplier not found")</f>
        <v>BluePeak Distributors</v>
      </c>
      <c r="F109" s="8">
        <v>11.0</v>
      </c>
      <c r="G109" s="8">
        <v>23.0</v>
      </c>
      <c r="H109" s="7">
        <v>799.0</v>
      </c>
      <c r="I109" s="7">
        <f t="shared" si="1"/>
        <v>8789</v>
      </c>
      <c r="J109" s="9">
        <v>46228.0</v>
      </c>
      <c r="K109" s="8">
        <f>IFERROR(VLOOKUP(D109,'Supplier Master'!$A$2:$F$16,5,FALSE()),0)</f>
        <v>5</v>
      </c>
      <c r="L109" s="4" t="str">
        <f t="shared" si="2"/>
        <v>Low Stock</v>
      </c>
      <c r="M109" s="8">
        <f t="shared" si="3"/>
        <v>35</v>
      </c>
      <c r="N109" s="8">
        <f t="shared" si="4"/>
        <v>95</v>
      </c>
    </row>
    <row r="110" ht="15.75" customHeight="1">
      <c r="A110" s="4" t="s">
        <v>347</v>
      </c>
      <c r="B110" s="4" t="s">
        <v>348</v>
      </c>
      <c r="C110" s="4" t="s">
        <v>302</v>
      </c>
      <c r="D110" s="4" t="s">
        <v>98</v>
      </c>
      <c r="E110" s="4" t="str">
        <f>IFERROR(VLOOKUP(D110,'Supplier Master'!$A$2:$F$16,2,FALSE()),"Supplier not found")</f>
        <v>Horizon Merchants</v>
      </c>
      <c r="F110" s="8">
        <v>168.0</v>
      </c>
      <c r="G110" s="8">
        <v>53.0</v>
      </c>
      <c r="H110" s="7">
        <v>699.0</v>
      </c>
      <c r="I110" s="7">
        <f t="shared" si="1"/>
        <v>117432</v>
      </c>
      <c r="J110" s="9">
        <v>46106.0</v>
      </c>
      <c r="K110" s="8">
        <f>IFERROR(VLOOKUP(D110,'Supplier Master'!$A$2:$F$16,5,FALSE()),0)</f>
        <v>5</v>
      </c>
      <c r="L110" s="4" t="str">
        <f t="shared" si="2"/>
        <v>In Stock</v>
      </c>
      <c r="M110" s="8">
        <f t="shared" si="3"/>
        <v>0</v>
      </c>
      <c r="N110" s="8">
        <f t="shared" si="4"/>
        <v>217</v>
      </c>
    </row>
    <row r="111" ht="15.75" customHeight="1">
      <c r="A111" s="4" t="s">
        <v>349</v>
      </c>
      <c r="B111" s="4" t="s">
        <v>350</v>
      </c>
      <c r="C111" s="4" t="s">
        <v>302</v>
      </c>
      <c r="D111" s="4" t="s">
        <v>130</v>
      </c>
      <c r="E111" s="4" t="str">
        <f>IFERROR(VLOOKUP(D111,'Supplier Master'!$A$2:$F$16,2,FALSE()),"Supplier not found")</f>
        <v>Keystone Products</v>
      </c>
      <c r="F111" s="8">
        <v>73.0</v>
      </c>
      <c r="G111" s="8">
        <v>58.0</v>
      </c>
      <c r="H111" s="7">
        <v>149.0</v>
      </c>
      <c r="I111" s="7">
        <f t="shared" si="1"/>
        <v>10877</v>
      </c>
      <c r="J111" s="9">
        <v>46281.0</v>
      </c>
      <c r="K111" s="8">
        <f>IFERROR(VLOOKUP(D111,'Supplier Master'!$A$2:$F$16,5,FALSE()),0)</f>
        <v>6</v>
      </c>
      <c r="L111" s="4" t="str">
        <f t="shared" si="2"/>
        <v>In Stock</v>
      </c>
      <c r="M111" s="8">
        <f t="shared" si="3"/>
        <v>0</v>
      </c>
      <c r="N111" s="8">
        <f t="shared" si="4"/>
        <v>42</v>
      </c>
    </row>
    <row r="112" ht="15.75" customHeight="1">
      <c r="A112" s="4" t="s">
        <v>351</v>
      </c>
      <c r="B112" s="4" t="s">
        <v>352</v>
      </c>
      <c r="C112" s="4" t="s">
        <v>353</v>
      </c>
      <c r="D112" s="4" t="s">
        <v>70</v>
      </c>
      <c r="E112" s="4" t="str">
        <f>IFERROR(VLOOKUP(D112,'Supplier Master'!$A$2:$F$16,2,FALSE()),"Supplier not found")</f>
        <v>Evergreen Traders</v>
      </c>
      <c r="F112" s="8">
        <v>0.0</v>
      </c>
      <c r="G112" s="8">
        <v>28.0</v>
      </c>
      <c r="H112" s="7">
        <v>349.0</v>
      </c>
      <c r="I112" s="7">
        <f t="shared" si="1"/>
        <v>0</v>
      </c>
      <c r="J112" s="9">
        <v>46232.0</v>
      </c>
      <c r="K112" s="8">
        <f>IFERROR(VLOOKUP(D112,'Supplier Master'!$A$2:$F$16,5,FALSE()),0)</f>
        <v>2</v>
      </c>
      <c r="L112" s="4" t="str">
        <f t="shared" si="2"/>
        <v>Out of Stock</v>
      </c>
      <c r="M112" s="8">
        <f t="shared" si="3"/>
        <v>56</v>
      </c>
      <c r="N112" s="8">
        <f t="shared" si="4"/>
        <v>91</v>
      </c>
    </row>
    <row r="113" ht="15.75" customHeight="1">
      <c r="A113" s="4" t="s">
        <v>354</v>
      </c>
      <c r="B113" s="4" t="s">
        <v>355</v>
      </c>
      <c r="C113" s="4" t="s">
        <v>353</v>
      </c>
      <c r="D113" s="4" t="s">
        <v>138</v>
      </c>
      <c r="E113" s="4" t="str">
        <f>IFERROR(VLOOKUP(D113,'Supplier Master'!$A$2:$F$16,2,FALSE()),"Supplier not found")</f>
        <v>Lotus Market Supply</v>
      </c>
      <c r="F113" s="8">
        <v>11.0</v>
      </c>
      <c r="G113" s="8">
        <v>32.0</v>
      </c>
      <c r="H113" s="7">
        <v>379.0</v>
      </c>
      <c r="I113" s="7">
        <f t="shared" si="1"/>
        <v>4169</v>
      </c>
      <c r="J113" s="9">
        <v>46219.0</v>
      </c>
      <c r="K113" s="8">
        <f>IFERROR(VLOOKUP(D113,'Supplier Master'!$A$2:$F$16,5,FALSE()),0)</f>
        <v>3</v>
      </c>
      <c r="L113" s="4" t="str">
        <f t="shared" si="2"/>
        <v>Low Stock</v>
      </c>
      <c r="M113" s="8">
        <f t="shared" si="3"/>
        <v>53</v>
      </c>
      <c r="N113" s="8">
        <f t="shared" si="4"/>
        <v>104</v>
      </c>
    </row>
    <row r="114" ht="15.75" customHeight="1">
      <c r="A114" s="4" t="s">
        <v>356</v>
      </c>
      <c r="B114" s="4" t="s">
        <v>357</v>
      </c>
      <c r="C114" s="4" t="s">
        <v>353</v>
      </c>
      <c r="D114" s="4" t="s">
        <v>70</v>
      </c>
      <c r="E114" s="4" t="str">
        <f>IFERROR(VLOOKUP(D114,'Supplier Master'!$A$2:$F$16,2,FALSE()),"Supplier not found")</f>
        <v>Evergreen Traders</v>
      </c>
      <c r="F114" s="8">
        <v>0.0</v>
      </c>
      <c r="G114" s="8">
        <v>10.0</v>
      </c>
      <c r="H114" s="7">
        <v>129.0</v>
      </c>
      <c r="I114" s="7">
        <f t="shared" si="1"/>
        <v>0</v>
      </c>
      <c r="J114" s="9">
        <v>46234.0</v>
      </c>
      <c r="K114" s="8">
        <f>IFERROR(VLOOKUP(D114,'Supplier Master'!$A$2:$F$16,5,FALSE()),0)</f>
        <v>2</v>
      </c>
      <c r="L114" s="4" t="str">
        <f t="shared" si="2"/>
        <v>Out of Stock</v>
      </c>
      <c r="M114" s="8">
        <f t="shared" si="3"/>
        <v>20</v>
      </c>
      <c r="N114" s="8">
        <f t="shared" si="4"/>
        <v>89</v>
      </c>
    </row>
    <row r="115" ht="15.75" customHeight="1">
      <c r="A115" s="4" t="s">
        <v>358</v>
      </c>
      <c r="B115" s="4" t="s">
        <v>359</v>
      </c>
      <c r="C115" s="4" t="s">
        <v>353</v>
      </c>
      <c r="D115" s="4" t="s">
        <v>118</v>
      </c>
      <c r="E115" s="4" t="str">
        <f>IFERROR(VLOOKUP(D115,'Supplier Master'!$A$2:$F$16,2,FALSE()),"Supplier not found")</f>
        <v>Jasmine General Trading</v>
      </c>
      <c r="F115" s="8">
        <v>15.0</v>
      </c>
      <c r="G115" s="8">
        <v>26.0</v>
      </c>
      <c r="H115" s="7">
        <v>249.0</v>
      </c>
      <c r="I115" s="7">
        <f t="shared" si="1"/>
        <v>3735</v>
      </c>
      <c r="J115" s="9">
        <v>46207.0</v>
      </c>
      <c r="K115" s="8">
        <f>IFERROR(VLOOKUP(D115,'Supplier Master'!$A$2:$F$16,5,FALSE()),0)</f>
        <v>4</v>
      </c>
      <c r="L115" s="4" t="str">
        <f t="shared" si="2"/>
        <v>Low Stock</v>
      </c>
      <c r="M115" s="8">
        <f t="shared" si="3"/>
        <v>37</v>
      </c>
      <c r="N115" s="8">
        <f t="shared" si="4"/>
        <v>116</v>
      </c>
    </row>
    <row r="116" ht="15.75" customHeight="1">
      <c r="A116" s="4" t="s">
        <v>360</v>
      </c>
      <c r="B116" s="4" t="s">
        <v>361</v>
      </c>
      <c r="C116" s="4" t="s">
        <v>353</v>
      </c>
      <c r="D116" s="4" t="s">
        <v>70</v>
      </c>
      <c r="E116" s="4" t="str">
        <f>IFERROR(VLOOKUP(D116,'Supplier Master'!$A$2:$F$16,2,FALSE()),"Supplier not found")</f>
        <v>Evergreen Traders</v>
      </c>
      <c r="F116" s="8">
        <v>47.0</v>
      </c>
      <c r="G116" s="8">
        <v>60.0</v>
      </c>
      <c r="H116" s="7">
        <v>99.0</v>
      </c>
      <c r="I116" s="7">
        <f t="shared" si="1"/>
        <v>4653</v>
      </c>
      <c r="J116" s="9">
        <v>46240.0</v>
      </c>
      <c r="K116" s="8">
        <f>IFERROR(VLOOKUP(D116,'Supplier Master'!$A$2:$F$16,5,FALSE()),0)</f>
        <v>2</v>
      </c>
      <c r="L116" s="4" t="str">
        <f t="shared" si="2"/>
        <v>Low Stock</v>
      </c>
      <c r="M116" s="8">
        <f t="shared" si="3"/>
        <v>73</v>
      </c>
      <c r="N116" s="8">
        <f t="shared" si="4"/>
        <v>83</v>
      </c>
    </row>
    <row r="117" ht="15.75" customHeight="1">
      <c r="A117" s="4" t="s">
        <v>362</v>
      </c>
      <c r="B117" s="4" t="s">
        <v>363</v>
      </c>
      <c r="C117" s="4" t="s">
        <v>353</v>
      </c>
      <c r="D117" s="4" t="s">
        <v>138</v>
      </c>
      <c r="E117" s="4" t="str">
        <f>IFERROR(VLOOKUP(D117,'Supplier Master'!$A$2:$F$16,2,FALSE()),"Supplier not found")</f>
        <v>Lotus Market Supply</v>
      </c>
      <c r="F117" s="8">
        <v>2.0</v>
      </c>
      <c r="G117" s="8">
        <v>29.0</v>
      </c>
      <c r="H117" s="7">
        <v>149.0</v>
      </c>
      <c r="I117" s="7">
        <f t="shared" si="1"/>
        <v>298</v>
      </c>
      <c r="J117" s="9">
        <v>46240.0</v>
      </c>
      <c r="K117" s="8">
        <f>IFERROR(VLOOKUP(D117,'Supplier Master'!$A$2:$F$16,5,FALSE()),0)</f>
        <v>3</v>
      </c>
      <c r="L117" s="4" t="str">
        <f t="shared" si="2"/>
        <v>Low Stock</v>
      </c>
      <c r="M117" s="8">
        <f t="shared" si="3"/>
        <v>56</v>
      </c>
      <c r="N117" s="8">
        <f t="shared" si="4"/>
        <v>83</v>
      </c>
    </row>
    <row r="118" ht="15.75" customHeight="1">
      <c r="A118" s="4" t="s">
        <v>364</v>
      </c>
      <c r="B118" s="4" t="s">
        <v>365</v>
      </c>
      <c r="C118" s="4" t="s">
        <v>353</v>
      </c>
      <c r="D118" s="4" t="s">
        <v>80</v>
      </c>
      <c r="E118" s="4" t="str">
        <f>IFERROR(VLOOKUP(D118,'Supplier Master'!$A$2:$F$16,2,FALSE()),"Supplier not found")</f>
        <v>FreshCart Suppliers</v>
      </c>
      <c r="F118" s="8">
        <v>8.0</v>
      </c>
      <c r="G118" s="8">
        <v>27.0</v>
      </c>
      <c r="H118" s="7">
        <v>229.0</v>
      </c>
      <c r="I118" s="7">
        <f t="shared" si="1"/>
        <v>1832</v>
      </c>
      <c r="J118" s="9">
        <v>45977.0</v>
      </c>
      <c r="K118" s="8">
        <f>IFERROR(VLOOKUP(D118,'Supplier Master'!$A$2:$F$16,5,FALSE()),0)</f>
        <v>3</v>
      </c>
      <c r="L118" s="4" t="str">
        <f t="shared" si="2"/>
        <v>Low Stock</v>
      </c>
      <c r="M118" s="8">
        <f t="shared" si="3"/>
        <v>46</v>
      </c>
      <c r="N118" s="8">
        <f t="shared" si="4"/>
        <v>346</v>
      </c>
    </row>
    <row r="119" ht="15.75" customHeight="1">
      <c r="A119" s="4" t="s">
        <v>366</v>
      </c>
      <c r="B119" s="4" t="s">
        <v>367</v>
      </c>
      <c r="C119" s="4" t="s">
        <v>353</v>
      </c>
      <c r="D119" s="4" t="s">
        <v>118</v>
      </c>
      <c r="E119" s="4" t="str">
        <f>IFERROR(VLOOKUP(D119,'Supplier Master'!$A$2:$F$16,2,FALSE()),"Supplier not found")</f>
        <v>Jasmine General Trading</v>
      </c>
      <c r="F119" s="8">
        <v>42.0</v>
      </c>
      <c r="G119" s="8">
        <v>47.0</v>
      </c>
      <c r="H119" s="7">
        <v>399.0</v>
      </c>
      <c r="I119" s="7">
        <f t="shared" si="1"/>
        <v>16758</v>
      </c>
      <c r="J119" s="9">
        <v>46082.0</v>
      </c>
      <c r="K119" s="8">
        <f>IFERROR(VLOOKUP(D119,'Supplier Master'!$A$2:$F$16,5,FALSE()),0)</f>
        <v>4</v>
      </c>
      <c r="L119" s="4" t="str">
        <f t="shared" si="2"/>
        <v>Low Stock</v>
      </c>
      <c r="M119" s="8">
        <f t="shared" si="3"/>
        <v>52</v>
      </c>
      <c r="N119" s="8">
        <f t="shared" si="4"/>
        <v>241</v>
      </c>
    </row>
    <row r="120" ht="15.75" customHeight="1">
      <c r="A120" s="4" t="s">
        <v>368</v>
      </c>
      <c r="B120" s="4" t="s">
        <v>369</v>
      </c>
      <c r="C120" s="4" t="s">
        <v>353</v>
      </c>
      <c r="D120" s="4" t="s">
        <v>80</v>
      </c>
      <c r="E120" s="4" t="str">
        <f>IFERROR(VLOOKUP(D120,'Supplier Master'!$A$2:$F$16,2,FALSE()),"Supplier not found")</f>
        <v>FreshCart Suppliers</v>
      </c>
      <c r="F120" s="8">
        <v>53.0</v>
      </c>
      <c r="G120" s="8">
        <v>61.0</v>
      </c>
      <c r="H120" s="7">
        <v>349.0</v>
      </c>
      <c r="I120" s="7">
        <f t="shared" si="1"/>
        <v>18497</v>
      </c>
      <c r="J120" s="9">
        <v>46154.0</v>
      </c>
      <c r="K120" s="8">
        <f>IFERROR(VLOOKUP(D120,'Supplier Master'!$A$2:$F$16,5,FALSE()),0)</f>
        <v>3</v>
      </c>
      <c r="L120" s="4" t="str">
        <f t="shared" si="2"/>
        <v>Low Stock</v>
      </c>
      <c r="M120" s="8">
        <f t="shared" si="3"/>
        <v>69</v>
      </c>
      <c r="N120" s="8">
        <f t="shared" si="4"/>
        <v>169</v>
      </c>
    </row>
    <row r="121" ht="15.75" customHeight="1">
      <c r="A121" s="4" t="s">
        <v>370</v>
      </c>
      <c r="B121" s="4" t="s">
        <v>371</v>
      </c>
      <c r="C121" s="4" t="s">
        <v>353</v>
      </c>
      <c r="D121" s="4" t="s">
        <v>118</v>
      </c>
      <c r="E121" s="4" t="str">
        <f>IFERROR(VLOOKUP(D121,'Supplier Master'!$A$2:$F$16,2,FALSE()),"Supplier not found")</f>
        <v>Jasmine General Trading</v>
      </c>
      <c r="F121" s="8">
        <v>5.0</v>
      </c>
      <c r="G121" s="8">
        <v>14.0</v>
      </c>
      <c r="H121" s="7">
        <v>169.0</v>
      </c>
      <c r="I121" s="7">
        <f t="shared" si="1"/>
        <v>845</v>
      </c>
      <c r="J121" s="9">
        <v>46108.0</v>
      </c>
      <c r="K121" s="8">
        <f>IFERROR(VLOOKUP(D121,'Supplier Master'!$A$2:$F$16,5,FALSE()),0)</f>
        <v>4</v>
      </c>
      <c r="L121" s="4" t="str">
        <f t="shared" si="2"/>
        <v>Low Stock</v>
      </c>
      <c r="M121" s="8">
        <f t="shared" si="3"/>
        <v>23</v>
      </c>
      <c r="N121" s="8">
        <f t="shared" si="4"/>
        <v>215</v>
      </c>
    </row>
    <row r="122" ht="15.75" customHeight="1">
      <c r="A122" s="4" t="s">
        <v>372</v>
      </c>
      <c r="B122" s="4" t="s">
        <v>373</v>
      </c>
      <c r="C122" s="4" t="s">
        <v>353</v>
      </c>
      <c r="D122" s="4" t="s">
        <v>118</v>
      </c>
      <c r="E122" s="4" t="str">
        <f>IFERROR(VLOOKUP(D122,'Supplier Master'!$A$2:$F$16,2,FALSE()),"Supplier not found")</f>
        <v>Jasmine General Trading</v>
      </c>
      <c r="F122" s="8">
        <v>6.0</v>
      </c>
      <c r="G122" s="8">
        <v>9.0</v>
      </c>
      <c r="H122" s="7">
        <v>199.0</v>
      </c>
      <c r="I122" s="7">
        <f t="shared" si="1"/>
        <v>1194</v>
      </c>
      <c r="J122" s="9">
        <v>46301.0</v>
      </c>
      <c r="K122" s="8">
        <f>IFERROR(VLOOKUP(D122,'Supplier Master'!$A$2:$F$16,5,FALSE()),0)</f>
        <v>4</v>
      </c>
      <c r="L122" s="4" t="str">
        <f t="shared" si="2"/>
        <v>Low Stock</v>
      </c>
      <c r="M122" s="8">
        <f t="shared" si="3"/>
        <v>12</v>
      </c>
      <c r="N122" s="8">
        <f t="shared" si="4"/>
        <v>22</v>
      </c>
    </row>
    <row r="123" ht="15.75" customHeight="1">
      <c r="A123" s="4" t="s">
        <v>374</v>
      </c>
      <c r="B123" s="4" t="s">
        <v>375</v>
      </c>
      <c r="C123" s="4" t="s">
        <v>353</v>
      </c>
      <c r="D123" s="4" t="s">
        <v>118</v>
      </c>
      <c r="E123" s="4" t="str">
        <f>IFERROR(VLOOKUP(D123,'Supplier Master'!$A$2:$F$16,2,FALSE()),"Supplier not found")</f>
        <v>Jasmine General Trading</v>
      </c>
      <c r="F123" s="8">
        <v>19.0</v>
      </c>
      <c r="G123" s="8">
        <v>29.0</v>
      </c>
      <c r="H123" s="7">
        <v>199.0</v>
      </c>
      <c r="I123" s="7">
        <f t="shared" si="1"/>
        <v>3781</v>
      </c>
      <c r="J123" s="9">
        <v>46142.0</v>
      </c>
      <c r="K123" s="8">
        <f>IFERROR(VLOOKUP(D123,'Supplier Master'!$A$2:$F$16,5,FALSE()),0)</f>
        <v>4</v>
      </c>
      <c r="L123" s="4" t="str">
        <f t="shared" si="2"/>
        <v>Low Stock</v>
      </c>
      <c r="M123" s="8">
        <f t="shared" si="3"/>
        <v>39</v>
      </c>
      <c r="N123" s="8">
        <f t="shared" si="4"/>
        <v>181</v>
      </c>
    </row>
    <row r="124" ht="15.75" customHeight="1">
      <c r="A124" s="4" t="s">
        <v>376</v>
      </c>
      <c r="B124" s="4" t="s">
        <v>377</v>
      </c>
      <c r="C124" s="4" t="s">
        <v>353</v>
      </c>
      <c r="D124" s="4" t="s">
        <v>138</v>
      </c>
      <c r="E124" s="4" t="str">
        <f>IFERROR(VLOOKUP(D124,'Supplier Master'!$A$2:$F$16,2,FALSE()),"Supplier not found")</f>
        <v>Lotus Market Supply</v>
      </c>
      <c r="F124" s="8">
        <v>16.0</v>
      </c>
      <c r="G124" s="8">
        <v>19.0</v>
      </c>
      <c r="H124" s="7">
        <v>129.0</v>
      </c>
      <c r="I124" s="7">
        <f t="shared" si="1"/>
        <v>2064</v>
      </c>
      <c r="J124" s="9">
        <v>46231.0</v>
      </c>
      <c r="K124" s="8">
        <f>IFERROR(VLOOKUP(D124,'Supplier Master'!$A$2:$F$16,5,FALSE()),0)</f>
        <v>3</v>
      </c>
      <c r="L124" s="4" t="str">
        <f t="shared" si="2"/>
        <v>Low Stock</v>
      </c>
      <c r="M124" s="8">
        <f t="shared" si="3"/>
        <v>22</v>
      </c>
      <c r="N124" s="8">
        <f t="shared" si="4"/>
        <v>92</v>
      </c>
    </row>
    <row r="125" ht="15.75" customHeight="1">
      <c r="A125" s="4" t="s">
        <v>378</v>
      </c>
      <c r="B125" s="4" t="s">
        <v>379</v>
      </c>
      <c r="C125" s="4" t="s">
        <v>353</v>
      </c>
      <c r="D125" s="4" t="s">
        <v>118</v>
      </c>
      <c r="E125" s="4" t="str">
        <f>IFERROR(VLOOKUP(D125,'Supplier Master'!$A$2:$F$16,2,FALSE()),"Supplier not found")</f>
        <v>Jasmine General Trading</v>
      </c>
      <c r="F125" s="8">
        <v>21.0</v>
      </c>
      <c r="G125" s="8">
        <v>41.0</v>
      </c>
      <c r="H125" s="7">
        <v>149.0</v>
      </c>
      <c r="I125" s="7">
        <f t="shared" si="1"/>
        <v>3129</v>
      </c>
      <c r="J125" s="9">
        <v>46205.0</v>
      </c>
      <c r="K125" s="8">
        <f>IFERROR(VLOOKUP(D125,'Supplier Master'!$A$2:$F$16,5,FALSE()),0)</f>
        <v>4</v>
      </c>
      <c r="L125" s="4" t="str">
        <f t="shared" si="2"/>
        <v>Low Stock</v>
      </c>
      <c r="M125" s="8">
        <f t="shared" si="3"/>
        <v>61</v>
      </c>
      <c r="N125" s="8">
        <f t="shared" si="4"/>
        <v>118</v>
      </c>
    </row>
    <row r="126" ht="15.75" customHeight="1">
      <c r="A126" s="4" t="s">
        <v>380</v>
      </c>
      <c r="B126" s="4" t="s">
        <v>381</v>
      </c>
      <c r="C126" s="4" t="s">
        <v>353</v>
      </c>
      <c r="D126" s="4" t="s">
        <v>138</v>
      </c>
      <c r="E126" s="4" t="str">
        <f>IFERROR(VLOOKUP(D126,'Supplier Master'!$A$2:$F$16,2,FALSE()),"Supplier not found")</f>
        <v>Lotus Market Supply</v>
      </c>
      <c r="F126" s="8">
        <v>5.0</v>
      </c>
      <c r="G126" s="8">
        <v>13.0</v>
      </c>
      <c r="H126" s="7">
        <v>249.0</v>
      </c>
      <c r="I126" s="7">
        <f t="shared" si="1"/>
        <v>1245</v>
      </c>
      <c r="J126" s="9">
        <v>46110.0</v>
      </c>
      <c r="K126" s="8">
        <f>IFERROR(VLOOKUP(D126,'Supplier Master'!$A$2:$F$16,5,FALSE()),0)</f>
        <v>3</v>
      </c>
      <c r="L126" s="4" t="str">
        <f t="shared" si="2"/>
        <v>Low Stock</v>
      </c>
      <c r="M126" s="8">
        <f t="shared" si="3"/>
        <v>21</v>
      </c>
      <c r="N126" s="8">
        <f t="shared" si="4"/>
        <v>213</v>
      </c>
    </row>
    <row r="127" ht="15.75" customHeight="1">
      <c r="A127" s="4" t="s">
        <v>382</v>
      </c>
      <c r="B127" s="4" t="s">
        <v>383</v>
      </c>
      <c r="C127" s="4" t="s">
        <v>353</v>
      </c>
      <c r="D127" s="4" t="s">
        <v>118</v>
      </c>
      <c r="E127" s="4" t="str">
        <f>IFERROR(VLOOKUP(D127,'Supplier Master'!$A$2:$F$16,2,FALSE()),"Supplier not found")</f>
        <v>Jasmine General Trading</v>
      </c>
      <c r="F127" s="8">
        <v>36.0</v>
      </c>
      <c r="G127" s="8">
        <v>45.0</v>
      </c>
      <c r="H127" s="7">
        <v>79.0</v>
      </c>
      <c r="I127" s="7">
        <f t="shared" si="1"/>
        <v>2844</v>
      </c>
      <c r="J127" s="9">
        <v>46113.0</v>
      </c>
      <c r="K127" s="8">
        <f>IFERROR(VLOOKUP(D127,'Supplier Master'!$A$2:$F$16,5,FALSE()),0)</f>
        <v>4</v>
      </c>
      <c r="L127" s="4" t="str">
        <f t="shared" si="2"/>
        <v>Low Stock</v>
      </c>
      <c r="M127" s="8">
        <f t="shared" si="3"/>
        <v>54</v>
      </c>
      <c r="N127" s="8">
        <f t="shared" si="4"/>
        <v>210</v>
      </c>
    </row>
    <row r="128" ht="15.75" customHeight="1">
      <c r="A128" s="4" t="s">
        <v>384</v>
      </c>
      <c r="B128" s="4" t="s">
        <v>385</v>
      </c>
      <c r="C128" s="4" t="s">
        <v>353</v>
      </c>
      <c r="D128" s="4" t="s">
        <v>80</v>
      </c>
      <c r="E128" s="4" t="str">
        <f>IFERROR(VLOOKUP(D128,'Supplier Master'!$A$2:$F$16,2,FALSE()),"Supplier not found")</f>
        <v>FreshCart Suppliers</v>
      </c>
      <c r="F128" s="8">
        <v>2.0</v>
      </c>
      <c r="G128" s="8">
        <v>15.0</v>
      </c>
      <c r="H128" s="7">
        <v>99.0</v>
      </c>
      <c r="I128" s="7">
        <f t="shared" si="1"/>
        <v>198</v>
      </c>
      <c r="J128" s="9">
        <v>46170.0</v>
      </c>
      <c r="K128" s="8">
        <f>IFERROR(VLOOKUP(D128,'Supplier Master'!$A$2:$F$16,5,FALSE()),0)</f>
        <v>3</v>
      </c>
      <c r="L128" s="4" t="str">
        <f t="shared" si="2"/>
        <v>Low Stock</v>
      </c>
      <c r="M128" s="8">
        <f t="shared" si="3"/>
        <v>28</v>
      </c>
      <c r="N128" s="8">
        <f t="shared" si="4"/>
        <v>153</v>
      </c>
    </row>
    <row r="129" ht="15.75" customHeight="1">
      <c r="A129" s="4" t="s">
        <v>386</v>
      </c>
      <c r="B129" s="4" t="s">
        <v>387</v>
      </c>
      <c r="C129" s="4" t="s">
        <v>353</v>
      </c>
      <c r="D129" s="4" t="s">
        <v>118</v>
      </c>
      <c r="E129" s="4" t="str">
        <f>IFERROR(VLOOKUP(D129,'Supplier Master'!$A$2:$F$16,2,FALSE()),"Supplier not found")</f>
        <v>Jasmine General Trading</v>
      </c>
      <c r="F129" s="8">
        <v>21.0</v>
      </c>
      <c r="G129" s="8">
        <v>54.0</v>
      </c>
      <c r="H129" s="7">
        <v>149.0</v>
      </c>
      <c r="I129" s="7">
        <f t="shared" si="1"/>
        <v>3129</v>
      </c>
      <c r="J129" s="9">
        <v>46186.0</v>
      </c>
      <c r="K129" s="8">
        <f>IFERROR(VLOOKUP(D129,'Supplier Master'!$A$2:$F$16,5,FALSE()),0)</f>
        <v>4</v>
      </c>
      <c r="L129" s="4" t="str">
        <f t="shared" si="2"/>
        <v>Low Stock</v>
      </c>
      <c r="M129" s="8">
        <f t="shared" si="3"/>
        <v>87</v>
      </c>
      <c r="N129" s="8">
        <f t="shared" si="4"/>
        <v>137</v>
      </c>
    </row>
    <row r="130" ht="15.75" customHeight="1">
      <c r="A130" s="4" t="s">
        <v>388</v>
      </c>
      <c r="B130" s="4" t="s">
        <v>389</v>
      </c>
      <c r="C130" s="4" t="s">
        <v>353</v>
      </c>
      <c r="D130" s="4" t="s">
        <v>80</v>
      </c>
      <c r="E130" s="4" t="str">
        <f>IFERROR(VLOOKUP(D130,'Supplier Master'!$A$2:$F$16,2,FALSE()),"Supplier not found")</f>
        <v>FreshCart Suppliers</v>
      </c>
      <c r="F130" s="8">
        <v>9.0</v>
      </c>
      <c r="G130" s="8">
        <v>32.0</v>
      </c>
      <c r="H130" s="7">
        <v>149.0</v>
      </c>
      <c r="I130" s="7">
        <f t="shared" si="1"/>
        <v>1341</v>
      </c>
      <c r="J130" s="9">
        <v>46142.0</v>
      </c>
      <c r="K130" s="8">
        <f>IFERROR(VLOOKUP(D130,'Supplier Master'!$A$2:$F$16,5,FALSE()),0)</f>
        <v>3</v>
      </c>
      <c r="L130" s="4" t="str">
        <f t="shared" si="2"/>
        <v>Low Stock</v>
      </c>
      <c r="M130" s="8">
        <f t="shared" si="3"/>
        <v>55</v>
      </c>
      <c r="N130" s="8">
        <f t="shared" si="4"/>
        <v>181</v>
      </c>
    </row>
    <row r="131" ht="15.75" customHeight="1">
      <c r="A131" s="4" t="s">
        <v>390</v>
      </c>
      <c r="B131" s="4" t="s">
        <v>391</v>
      </c>
      <c r="C131" s="4" t="s">
        <v>353</v>
      </c>
      <c r="D131" s="4" t="s">
        <v>80</v>
      </c>
      <c r="E131" s="4" t="str">
        <f>IFERROR(VLOOKUP(D131,'Supplier Master'!$A$2:$F$16,2,FALSE()),"Supplier not found")</f>
        <v>FreshCart Suppliers</v>
      </c>
      <c r="F131" s="8">
        <v>43.0</v>
      </c>
      <c r="G131" s="8">
        <v>44.0</v>
      </c>
      <c r="H131" s="7">
        <v>89.0</v>
      </c>
      <c r="I131" s="7">
        <f t="shared" si="1"/>
        <v>3827</v>
      </c>
      <c r="J131" s="9">
        <v>46096.0</v>
      </c>
      <c r="K131" s="8">
        <f>IFERROR(VLOOKUP(D131,'Supplier Master'!$A$2:$F$16,5,FALSE()),0)</f>
        <v>3</v>
      </c>
      <c r="L131" s="4" t="str">
        <f t="shared" si="2"/>
        <v>Low Stock</v>
      </c>
      <c r="M131" s="8">
        <f t="shared" si="3"/>
        <v>45</v>
      </c>
      <c r="N131" s="8">
        <f t="shared" si="4"/>
        <v>227</v>
      </c>
    </row>
    <row r="132" ht="15.75" customHeight="1">
      <c r="A132" s="4" t="s">
        <v>392</v>
      </c>
      <c r="B132" s="4" t="s">
        <v>393</v>
      </c>
      <c r="C132" s="4" t="s">
        <v>394</v>
      </c>
      <c r="D132" s="4" t="s">
        <v>16</v>
      </c>
      <c r="E132" s="4" t="str">
        <f>IFERROR(VLOOKUP(D132,'Supplier Master'!$A$2:$F$16,2,FALSE()),"Supplier not found")</f>
        <v>Apex Wholesale</v>
      </c>
      <c r="F132" s="8">
        <v>0.0</v>
      </c>
      <c r="G132" s="8">
        <v>13.0</v>
      </c>
      <c r="H132" s="7">
        <v>599.0</v>
      </c>
      <c r="I132" s="7">
        <f t="shared" si="1"/>
        <v>0</v>
      </c>
      <c r="J132" s="9">
        <v>46165.0</v>
      </c>
      <c r="K132" s="8">
        <f>IFERROR(VLOOKUP(D132,'Supplier Master'!$A$2:$F$16,5,FALSE()),0)</f>
        <v>3</v>
      </c>
      <c r="L132" s="4" t="str">
        <f t="shared" si="2"/>
        <v>Out of Stock</v>
      </c>
      <c r="M132" s="8">
        <f t="shared" si="3"/>
        <v>26</v>
      </c>
      <c r="N132" s="8">
        <f t="shared" si="4"/>
        <v>158</v>
      </c>
    </row>
    <row r="133" ht="15.75" customHeight="1">
      <c r="A133" s="4" t="s">
        <v>395</v>
      </c>
      <c r="B133" s="4" t="s">
        <v>396</v>
      </c>
      <c r="C133" s="4" t="s">
        <v>394</v>
      </c>
      <c r="D133" s="4" t="s">
        <v>64</v>
      </c>
      <c r="E133" s="4" t="str">
        <f>IFERROR(VLOOKUP(D133,'Supplier Master'!$A$2:$F$16,2,FALSE()),"Supplier not found")</f>
        <v>Indigo Industrial Supply</v>
      </c>
      <c r="F133" s="8">
        <v>1.0</v>
      </c>
      <c r="G133" s="8">
        <v>32.0</v>
      </c>
      <c r="H133" s="7">
        <v>399.0</v>
      </c>
      <c r="I133" s="7">
        <f t="shared" si="1"/>
        <v>399</v>
      </c>
      <c r="J133" s="9">
        <v>46137.0</v>
      </c>
      <c r="K133" s="8">
        <f>IFERROR(VLOOKUP(D133,'Supplier Master'!$A$2:$F$16,5,FALSE()),0)</f>
        <v>8</v>
      </c>
      <c r="L133" s="4" t="str">
        <f t="shared" si="2"/>
        <v>Low Stock</v>
      </c>
      <c r="M133" s="8">
        <f t="shared" si="3"/>
        <v>63</v>
      </c>
      <c r="N133" s="8">
        <f t="shared" si="4"/>
        <v>186</v>
      </c>
    </row>
    <row r="134" ht="15.75" customHeight="1">
      <c r="A134" s="4" t="s">
        <v>397</v>
      </c>
      <c r="B134" s="4" t="s">
        <v>398</v>
      </c>
      <c r="C134" s="4" t="s">
        <v>394</v>
      </c>
      <c r="D134" s="4" t="s">
        <v>49</v>
      </c>
      <c r="E134" s="4" t="str">
        <f>IFERROR(VLOOKUP(D134,'Supplier Master'!$A$2:$F$16,2,FALSE()),"Supplier not found")</f>
        <v>Cedar Supply Co.</v>
      </c>
      <c r="F134" s="8">
        <v>28.0</v>
      </c>
      <c r="G134" s="8">
        <v>50.0</v>
      </c>
      <c r="H134" s="7">
        <v>249.0</v>
      </c>
      <c r="I134" s="7">
        <f t="shared" si="1"/>
        <v>6972</v>
      </c>
      <c r="J134" s="9">
        <v>46143.0</v>
      </c>
      <c r="K134" s="8">
        <f>IFERROR(VLOOKUP(D134,'Supplier Master'!$A$2:$F$16,5,FALSE()),0)</f>
        <v>4</v>
      </c>
      <c r="L134" s="4" t="str">
        <f t="shared" si="2"/>
        <v>Low Stock</v>
      </c>
      <c r="M134" s="8">
        <f t="shared" si="3"/>
        <v>72</v>
      </c>
      <c r="N134" s="8">
        <f t="shared" si="4"/>
        <v>180</v>
      </c>
    </row>
    <row r="135" ht="15.75" customHeight="1">
      <c r="A135" s="4" t="s">
        <v>399</v>
      </c>
      <c r="B135" s="4" t="s">
        <v>400</v>
      </c>
      <c r="C135" s="4" t="s">
        <v>394</v>
      </c>
      <c r="D135" s="4" t="s">
        <v>49</v>
      </c>
      <c r="E135" s="4" t="str">
        <f>IFERROR(VLOOKUP(D135,'Supplier Master'!$A$2:$F$16,2,FALSE()),"Supplier not found")</f>
        <v>Cedar Supply Co.</v>
      </c>
      <c r="F135" s="8">
        <v>16.0</v>
      </c>
      <c r="G135" s="8">
        <v>47.0</v>
      </c>
      <c r="H135" s="7">
        <v>349.0</v>
      </c>
      <c r="I135" s="7">
        <f t="shared" si="1"/>
        <v>5584</v>
      </c>
      <c r="J135" s="9">
        <v>46285.0</v>
      </c>
      <c r="K135" s="8">
        <f>IFERROR(VLOOKUP(D135,'Supplier Master'!$A$2:$F$16,5,FALSE()),0)</f>
        <v>4</v>
      </c>
      <c r="L135" s="4" t="str">
        <f t="shared" si="2"/>
        <v>Low Stock</v>
      </c>
      <c r="M135" s="8">
        <f t="shared" si="3"/>
        <v>78</v>
      </c>
      <c r="N135" s="8">
        <f t="shared" si="4"/>
        <v>38</v>
      </c>
    </row>
    <row r="136" ht="15.75" customHeight="1">
      <c r="A136" s="4" t="s">
        <v>401</v>
      </c>
      <c r="B136" s="4" t="s">
        <v>402</v>
      </c>
      <c r="C136" s="4" t="s">
        <v>394</v>
      </c>
      <c r="D136" s="4" t="s">
        <v>16</v>
      </c>
      <c r="E136" s="4" t="str">
        <f>IFERROR(VLOOKUP(D136,'Supplier Master'!$A$2:$F$16,2,FALSE()),"Supplier not found")</f>
        <v>Apex Wholesale</v>
      </c>
      <c r="F136" s="8">
        <v>36.0</v>
      </c>
      <c r="G136" s="8">
        <v>36.0</v>
      </c>
      <c r="H136" s="7">
        <v>499.0</v>
      </c>
      <c r="I136" s="7">
        <f t="shared" si="1"/>
        <v>17964</v>
      </c>
      <c r="J136" s="9">
        <v>46264.0</v>
      </c>
      <c r="K136" s="8">
        <f>IFERROR(VLOOKUP(D136,'Supplier Master'!$A$2:$F$16,5,FALSE()),0)</f>
        <v>3</v>
      </c>
      <c r="L136" s="4" t="str">
        <f t="shared" si="2"/>
        <v>In Stock</v>
      </c>
      <c r="M136" s="8">
        <f t="shared" si="3"/>
        <v>0</v>
      </c>
      <c r="N136" s="8">
        <f t="shared" si="4"/>
        <v>59</v>
      </c>
    </row>
    <row r="137" ht="15.75" customHeight="1">
      <c r="A137" s="4" t="s">
        <v>403</v>
      </c>
      <c r="B137" s="4" t="s">
        <v>404</v>
      </c>
      <c r="C137" s="4" t="s">
        <v>394</v>
      </c>
      <c r="D137" s="4" t="s">
        <v>16</v>
      </c>
      <c r="E137" s="4" t="str">
        <f>IFERROR(VLOOKUP(D137,'Supplier Master'!$A$2:$F$16,2,FALSE()),"Supplier not found")</f>
        <v>Apex Wholesale</v>
      </c>
      <c r="F137" s="8">
        <v>14.0</v>
      </c>
      <c r="G137" s="8">
        <v>14.0</v>
      </c>
      <c r="H137" s="7">
        <v>399.0</v>
      </c>
      <c r="I137" s="7">
        <f t="shared" si="1"/>
        <v>5586</v>
      </c>
      <c r="J137" s="9">
        <v>46158.0</v>
      </c>
      <c r="K137" s="8">
        <f>IFERROR(VLOOKUP(D137,'Supplier Master'!$A$2:$F$16,5,FALSE()),0)</f>
        <v>3</v>
      </c>
      <c r="L137" s="4" t="str">
        <f t="shared" si="2"/>
        <v>In Stock</v>
      </c>
      <c r="M137" s="8">
        <f t="shared" si="3"/>
        <v>0</v>
      </c>
      <c r="N137" s="8">
        <f t="shared" si="4"/>
        <v>165</v>
      </c>
    </row>
    <row r="138" ht="15.75" customHeight="1">
      <c r="A138" s="4" t="s">
        <v>405</v>
      </c>
      <c r="B138" s="4" t="s">
        <v>406</v>
      </c>
      <c r="C138" s="4" t="s">
        <v>394</v>
      </c>
      <c r="D138" s="4" t="s">
        <v>16</v>
      </c>
      <c r="E138" s="4" t="str">
        <f>IFERROR(VLOOKUP(D138,'Supplier Master'!$A$2:$F$16,2,FALSE()),"Supplier not found")</f>
        <v>Apex Wholesale</v>
      </c>
      <c r="F138" s="8">
        <v>44.0</v>
      </c>
      <c r="G138" s="8">
        <v>44.0</v>
      </c>
      <c r="H138" s="7">
        <v>449.0</v>
      </c>
      <c r="I138" s="7">
        <f t="shared" si="1"/>
        <v>19756</v>
      </c>
      <c r="J138" s="9">
        <v>46250.0</v>
      </c>
      <c r="K138" s="8">
        <f>IFERROR(VLOOKUP(D138,'Supplier Master'!$A$2:$F$16,5,FALSE()),0)</f>
        <v>3</v>
      </c>
      <c r="L138" s="4" t="str">
        <f t="shared" si="2"/>
        <v>In Stock</v>
      </c>
      <c r="M138" s="8">
        <f t="shared" si="3"/>
        <v>0</v>
      </c>
      <c r="N138" s="8">
        <f t="shared" si="4"/>
        <v>73</v>
      </c>
    </row>
    <row r="139" ht="15.75" customHeight="1">
      <c r="A139" s="4" t="s">
        <v>407</v>
      </c>
      <c r="B139" s="4" t="s">
        <v>408</v>
      </c>
      <c r="C139" s="4" t="s">
        <v>394</v>
      </c>
      <c r="D139" s="4" t="s">
        <v>49</v>
      </c>
      <c r="E139" s="4" t="str">
        <f>IFERROR(VLOOKUP(D139,'Supplier Master'!$A$2:$F$16,2,FALSE()),"Supplier not found")</f>
        <v>Cedar Supply Co.</v>
      </c>
      <c r="F139" s="8">
        <v>58.0</v>
      </c>
      <c r="G139" s="8">
        <v>58.0</v>
      </c>
      <c r="H139" s="7">
        <v>699.0</v>
      </c>
      <c r="I139" s="7">
        <f t="shared" si="1"/>
        <v>40542</v>
      </c>
      <c r="J139" s="9">
        <v>46278.0</v>
      </c>
      <c r="K139" s="8">
        <f>IFERROR(VLOOKUP(D139,'Supplier Master'!$A$2:$F$16,5,FALSE()),0)</f>
        <v>4</v>
      </c>
      <c r="L139" s="4" t="str">
        <f t="shared" si="2"/>
        <v>In Stock</v>
      </c>
      <c r="M139" s="8">
        <f t="shared" si="3"/>
        <v>0</v>
      </c>
      <c r="N139" s="8">
        <f t="shared" si="4"/>
        <v>45</v>
      </c>
    </row>
    <row r="140" ht="15.75" customHeight="1">
      <c r="A140" s="4" t="s">
        <v>409</v>
      </c>
      <c r="B140" s="4" t="s">
        <v>410</v>
      </c>
      <c r="C140" s="4" t="s">
        <v>394</v>
      </c>
      <c r="D140" s="4" t="s">
        <v>25</v>
      </c>
      <c r="E140" s="4" t="str">
        <f>IFERROR(VLOOKUP(D140,'Supplier Master'!$A$2:$F$16,2,FALSE()),"Supplier not found")</f>
        <v>GoldenGate Supplies</v>
      </c>
      <c r="F140" s="8">
        <v>41.0</v>
      </c>
      <c r="G140" s="8">
        <v>41.0</v>
      </c>
      <c r="H140" s="7">
        <v>899.0</v>
      </c>
      <c r="I140" s="7">
        <f t="shared" si="1"/>
        <v>36859</v>
      </c>
      <c r="J140" s="9">
        <v>46218.0</v>
      </c>
      <c r="K140" s="8">
        <f>IFERROR(VLOOKUP(D140,'Supplier Master'!$A$2:$F$16,5,FALSE()),0)</f>
        <v>6</v>
      </c>
      <c r="L140" s="4" t="str">
        <f t="shared" si="2"/>
        <v>In Stock</v>
      </c>
      <c r="M140" s="8">
        <f t="shared" si="3"/>
        <v>0</v>
      </c>
      <c r="N140" s="8">
        <f t="shared" si="4"/>
        <v>105</v>
      </c>
    </row>
    <row r="141" ht="15.75" customHeight="1">
      <c r="A141" s="4" t="s">
        <v>411</v>
      </c>
      <c r="B141" s="4" t="s">
        <v>412</v>
      </c>
      <c r="C141" s="4" t="s">
        <v>394</v>
      </c>
      <c r="D141" s="4" t="s">
        <v>49</v>
      </c>
      <c r="E141" s="4" t="str">
        <f>IFERROR(VLOOKUP(D141,'Supplier Master'!$A$2:$F$16,2,FALSE()),"Supplier not found")</f>
        <v>Cedar Supply Co.</v>
      </c>
      <c r="F141" s="8">
        <v>37.0</v>
      </c>
      <c r="G141" s="8">
        <v>37.0</v>
      </c>
      <c r="H141" s="7">
        <v>399.0</v>
      </c>
      <c r="I141" s="7">
        <f t="shared" si="1"/>
        <v>14763</v>
      </c>
      <c r="J141" s="9">
        <v>46265.0</v>
      </c>
      <c r="K141" s="8">
        <f>IFERROR(VLOOKUP(D141,'Supplier Master'!$A$2:$F$16,5,FALSE()),0)</f>
        <v>4</v>
      </c>
      <c r="L141" s="4" t="str">
        <f t="shared" si="2"/>
        <v>In Stock</v>
      </c>
      <c r="M141" s="8">
        <f t="shared" si="3"/>
        <v>0</v>
      </c>
      <c r="N141" s="8">
        <f t="shared" si="4"/>
        <v>58</v>
      </c>
    </row>
    <row r="142" ht="15.75" customHeight="1">
      <c r="A142" s="4" t="s">
        <v>413</v>
      </c>
      <c r="B142" s="4" t="s">
        <v>414</v>
      </c>
      <c r="C142" s="4" t="s">
        <v>394</v>
      </c>
      <c r="D142" s="4" t="s">
        <v>25</v>
      </c>
      <c r="E142" s="4" t="str">
        <f>IFERROR(VLOOKUP(D142,'Supplier Master'!$A$2:$F$16,2,FALSE()),"Supplier not found")</f>
        <v>GoldenGate Supplies</v>
      </c>
      <c r="F142" s="8">
        <v>35.0</v>
      </c>
      <c r="G142" s="8">
        <v>35.0</v>
      </c>
      <c r="H142" s="7">
        <v>349.0</v>
      </c>
      <c r="I142" s="7">
        <f t="shared" si="1"/>
        <v>12215</v>
      </c>
      <c r="J142" s="9">
        <v>46194.0</v>
      </c>
      <c r="K142" s="8">
        <f>IFERROR(VLOOKUP(D142,'Supplier Master'!$A$2:$F$16,5,FALSE()),0)</f>
        <v>6</v>
      </c>
      <c r="L142" s="4" t="str">
        <f t="shared" si="2"/>
        <v>In Stock</v>
      </c>
      <c r="M142" s="8">
        <f t="shared" si="3"/>
        <v>0</v>
      </c>
      <c r="N142" s="8">
        <f t="shared" si="4"/>
        <v>129</v>
      </c>
    </row>
    <row r="143" ht="15.75" customHeight="1">
      <c r="A143" s="4" t="s">
        <v>416</v>
      </c>
      <c r="B143" s="4" t="s">
        <v>417</v>
      </c>
      <c r="C143" s="4" t="s">
        <v>394</v>
      </c>
      <c r="D143" s="4" t="s">
        <v>49</v>
      </c>
      <c r="E143" s="4" t="str">
        <f>IFERROR(VLOOKUP(D143,'Supplier Master'!$A$2:$F$16,2,FALSE()),"Supplier not found")</f>
        <v>Cedar Supply Co.</v>
      </c>
      <c r="F143" s="8">
        <v>63.0</v>
      </c>
      <c r="G143" s="8">
        <v>63.0</v>
      </c>
      <c r="H143" s="7">
        <v>799.0</v>
      </c>
      <c r="I143" s="7">
        <f t="shared" si="1"/>
        <v>50337</v>
      </c>
      <c r="J143" s="9">
        <v>46156.0</v>
      </c>
      <c r="K143" s="8">
        <f>IFERROR(VLOOKUP(D143,'Supplier Master'!$A$2:$F$16,5,FALSE()),0)</f>
        <v>4</v>
      </c>
      <c r="L143" s="4" t="str">
        <f t="shared" si="2"/>
        <v>In Stock</v>
      </c>
      <c r="M143" s="8">
        <f t="shared" si="3"/>
        <v>0</v>
      </c>
      <c r="N143" s="8">
        <f t="shared" si="4"/>
        <v>167</v>
      </c>
    </row>
    <row r="144" ht="15.75" customHeight="1">
      <c r="A144" s="4" t="s">
        <v>418</v>
      </c>
      <c r="B144" s="4" t="s">
        <v>419</v>
      </c>
      <c r="C144" s="4" t="s">
        <v>394</v>
      </c>
      <c r="D144" s="4" t="s">
        <v>64</v>
      </c>
      <c r="E144" s="4" t="str">
        <f>IFERROR(VLOOKUP(D144,'Supplier Master'!$A$2:$F$16,2,FALSE()),"Supplier not found")</f>
        <v>Indigo Industrial Supply</v>
      </c>
      <c r="F144" s="8">
        <v>234.0</v>
      </c>
      <c r="G144" s="8">
        <v>27.0</v>
      </c>
      <c r="H144" s="7">
        <v>299.0</v>
      </c>
      <c r="I144" s="7">
        <f t="shared" si="1"/>
        <v>69966</v>
      </c>
      <c r="J144" s="9">
        <v>46061.0</v>
      </c>
      <c r="K144" s="8">
        <f>IFERROR(VLOOKUP(D144,'Supplier Master'!$A$2:$F$16,5,FALSE()),0)</f>
        <v>8</v>
      </c>
      <c r="L144" s="4" t="str">
        <f t="shared" si="2"/>
        <v>In Stock</v>
      </c>
      <c r="M144" s="8">
        <f t="shared" si="3"/>
        <v>0</v>
      </c>
      <c r="N144" s="8">
        <f t="shared" si="4"/>
        <v>262</v>
      </c>
    </row>
    <row r="145" ht="15.75" customHeight="1">
      <c r="A145" s="4" t="s">
        <v>420</v>
      </c>
      <c r="B145" s="4" t="s">
        <v>421</v>
      </c>
      <c r="C145" s="4" t="s">
        <v>394</v>
      </c>
      <c r="D145" s="4" t="s">
        <v>25</v>
      </c>
      <c r="E145" s="4" t="str">
        <f>IFERROR(VLOOKUP(D145,'Supplier Master'!$A$2:$F$16,2,FALSE()),"Supplier not found")</f>
        <v>GoldenGate Supplies</v>
      </c>
      <c r="F145" s="8">
        <v>137.0</v>
      </c>
      <c r="G145" s="8">
        <v>49.0</v>
      </c>
      <c r="H145" s="7">
        <v>699.0</v>
      </c>
      <c r="I145" s="7">
        <f t="shared" si="1"/>
        <v>95763</v>
      </c>
      <c r="J145" s="9">
        <v>46216.0</v>
      </c>
      <c r="K145" s="8">
        <f>IFERROR(VLOOKUP(D145,'Supplier Master'!$A$2:$F$16,5,FALSE()),0)</f>
        <v>6</v>
      </c>
      <c r="L145" s="4" t="str">
        <f t="shared" si="2"/>
        <v>In Stock</v>
      </c>
      <c r="M145" s="8">
        <f t="shared" si="3"/>
        <v>0</v>
      </c>
      <c r="N145" s="8">
        <f t="shared" si="4"/>
        <v>107</v>
      </c>
    </row>
    <row r="146" ht="15.75" customHeight="1">
      <c r="A146" s="4" t="s">
        <v>422</v>
      </c>
      <c r="B146" s="4" t="s">
        <v>423</v>
      </c>
      <c r="C146" s="4" t="s">
        <v>394</v>
      </c>
      <c r="D146" s="4" t="s">
        <v>25</v>
      </c>
      <c r="E146" s="4" t="str">
        <f>IFERROR(VLOOKUP(D146,'Supplier Master'!$A$2:$F$16,2,FALSE()),"Supplier not found")</f>
        <v>GoldenGate Supplies</v>
      </c>
      <c r="F146" s="8">
        <v>541.0</v>
      </c>
      <c r="G146" s="8">
        <v>44.0</v>
      </c>
      <c r="H146" s="7">
        <v>499.0</v>
      </c>
      <c r="I146" s="7">
        <f t="shared" si="1"/>
        <v>269959</v>
      </c>
      <c r="J146" s="9">
        <v>46085.0</v>
      </c>
      <c r="K146" s="8">
        <f>IFERROR(VLOOKUP(D146,'Supplier Master'!$A$2:$F$16,5,FALSE()),0)</f>
        <v>6</v>
      </c>
      <c r="L146" s="4" t="str">
        <f t="shared" si="2"/>
        <v>In Stock</v>
      </c>
      <c r="M146" s="8">
        <f t="shared" si="3"/>
        <v>0</v>
      </c>
      <c r="N146" s="8">
        <f t="shared" si="4"/>
        <v>238</v>
      </c>
    </row>
    <row r="147" ht="15.75" customHeight="1">
      <c r="A147" s="4" t="s">
        <v>424</v>
      </c>
      <c r="B147" s="4" t="s">
        <v>425</v>
      </c>
      <c r="C147" s="4" t="s">
        <v>394</v>
      </c>
      <c r="D147" s="4" t="s">
        <v>25</v>
      </c>
      <c r="E147" s="4" t="str">
        <f>IFERROR(VLOOKUP(D147,'Supplier Master'!$A$2:$F$16,2,FALSE()),"Supplier not found")</f>
        <v>GoldenGate Supplies</v>
      </c>
      <c r="F147" s="8">
        <v>173.0</v>
      </c>
      <c r="G147" s="8">
        <v>59.0</v>
      </c>
      <c r="H147" s="7">
        <v>1499.0</v>
      </c>
      <c r="I147" s="7">
        <f t="shared" si="1"/>
        <v>259327</v>
      </c>
      <c r="J147" s="9">
        <v>46188.0</v>
      </c>
      <c r="K147" s="8">
        <f>IFERROR(VLOOKUP(D147,'Supplier Master'!$A$2:$F$16,5,FALSE()),0)</f>
        <v>6</v>
      </c>
      <c r="L147" s="4" t="str">
        <f t="shared" si="2"/>
        <v>In Stock</v>
      </c>
      <c r="M147" s="8">
        <f t="shared" si="3"/>
        <v>0</v>
      </c>
      <c r="N147" s="8">
        <f t="shared" si="4"/>
        <v>135</v>
      </c>
    </row>
    <row r="148" ht="15.75" customHeight="1">
      <c r="A148" s="4" t="s">
        <v>426</v>
      </c>
      <c r="B148" s="4" t="s">
        <v>427</v>
      </c>
      <c r="C148" s="4" t="s">
        <v>394</v>
      </c>
      <c r="D148" s="4" t="s">
        <v>25</v>
      </c>
      <c r="E148" s="4" t="str">
        <f>IFERROR(VLOOKUP(D148,'Supplier Master'!$A$2:$F$16,2,FALSE()),"Supplier not found")</f>
        <v>GoldenGate Supplies</v>
      </c>
      <c r="F148" s="8">
        <v>105.0</v>
      </c>
      <c r="G148" s="8">
        <v>25.0</v>
      </c>
      <c r="H148" s="7">
        <v>299.0</v>
      </c>
      <c r="I148" s="7">
        <f t="shared" si="1"/>
        <v>31395</v>
      </c>
      <c r="J148" s="9">
        <v>46142.0</v>
      </c>
      <c r="K148" s="8">
        <f>IFERROR(VLOOKUP(D148,'Supplier Master'!$A$2:$F$16,5,FALSE()),0)</f>
        <v>6</v>
      </c>
      <c r="L148" s="4" t="str">
        <f t="shared" si="2"/>
        <v>In Stock</v>
      </c>
      <c r="M148" s="8">
        <f t="shared" si="3"/>
        <v>0</v>
      </c>
      <c r="N148" s="8">
        <f t="shared" si="4"/>
        <v>181</v>
      </c>
    </row>
    <row r="149" ht="15.75" customHeight="1">
      <c r="A149" s="4" t="s">
        <v>428</v>
      </c>
      <c r="B149" s="4" t="s">
        <v>429</v>
      </c>
      <c r="C149" s="4" t="s">
        <v>394</v>
      </c>
      <c r="D149" s="4" t="s">
        <v>49</v>
      </c>
      <c r="E149" s="4" t="str">
        <f>IFERROR(VLOOKUP(D149,'Supplier Master'!$A$2:$F$16,2,FALSE()),"Supplier not found")</f>
        <v>Cedar Supply Co.</v>
      </c>
      <c r="F149" s="8">
        <v>248.0</v>
      </c>
      <c r="G149" s="8">
        <v>17.0</v>
      </c>
      <c r="H149" s="7">
        <v>199.0</v>
      </c>
      <c r="I149" s="7">
        <f t="shared" si="1"/>
        <v>49352</v>
      </c>
      <c r="J149" s="9">
        <v>46178.0</v>
      </c>
      <c r="K149" s="8">
        <f>IFERROR(VLOOKUP(D149,'Supplier Master'!$A$2:$F$16,5,FALSE()),0)</f>
        <v>4</v>
      </c>
      <c r="L149" s="4" t="str">
        <f t="shared" si="2"/>
        <v>In Stock</v>
      </c>
      <c r="M149" s="8">
        <f t="shared" si="3"/>
        <v>0</v>
      </c>
      <c r="N149" s="8">
        <f t="shared" si="4"/>
        <v>145</v>
      </c>
    </row>
    <row r="150" ht="15.75" customHeight="1">
      <c r="A150" s="4" t="s">
        <v>430</v>
      </c>
      <c r="B150" s="4" t="s">
        <v>431</v>
      </c>
      <c r="C150" s="4" t="s">
        <v>394</v>
      </c>
      <c r="D150" s="4" t="s">
        <v>64</v>
      </c>
      <c r="E150" s="4" t="str">
        <f>IFERROR(VLOOKUP(D150,'Supplier Master'!$A$2:$F$16,2,FALSE()),"Supplier not found")</f>
        <v>Indigo Industrial Supply</v>
      </c>
      <c r="F150" s="8">
        <v>375.0</v>
      </c>
      <c r="G150" s="8">
        <v>54.0</v>
      </c>
      <c r="H150" s="7">
        <v>499.0</v>
      </c>
      <c r="I150" s="7">
        <f t="shared" si="1"/>
        <v>187125</v>
      </c>
      <c r="J150" s="9">
        <v>46208.0</v>
      </c>
      <c r="K150" s="8">
        <f>IFERROR(VLOOKUP(D150,'Supplier Master'!$A$2:$F$16,5,FALSE()),0)</f>
        <v>8</v>
      </c>
      <c r="L150" s="4" t="str">
        <f t="shared" si="2"/>
        <v>In Stock</v>
      </c>
      <c r="M150" s="8">
        <f t="shared" si="3"/>
        <v>0</v>
      </c>
      <c r="N150" s="8">
        <f t="shared" si="4"/>
        <v>115</v>
      </c>
    </row>
    <row r="151" ht="15.75" customHeight="1">
      <c r="A151" s="4" t="s">
        <v>432</v>
      </c>
      <c r="B151" s="4" t="s">
        <v>433</v>
      </c>
      <c r="C151" s="4" t="s">
        <v>394</v>
      </c>
      <c r="D151" s="4" t="s">
        <v>49</v>
      </c>
      <c r="E151" s="4" t="str">
        <f>IFERROR(VLOOKUP(D151,'Supplier Master'!$A$2:$F$16,2,FALSE()),"Supplier not found")</f>
        <v>Cedar Supply Co.</v>
      </c>
      <c r="F151" s="8">
        <v>345.0</v>
      </c>
      <c r="G151" s="8">
        <v>63.0</v>
      </c>
      <c r="H151" s="7">
        <v>549.0</v>
      </c>
      <c r="I151" s="7">
        <f t="shared" si="1"/>
        <v>189405</v>
      </c>
      <c r="J151" s="9">
        <v>46127.0</v>
      </c>
      <c r="K151" s="8">
        <f>IFERROR(VLOOKUP(D151,'Supplier Master'!$A$2:$F$16,5,FALSE()),0)</f>
        <v>4</v>
      </c>
      <c r="L151" s="4" t="str">
        <f t="shared" si="2"/>
        <v>In Stock</v>
      </c>
      <c r="M151" s="8">
        <f t="shared" si="3"/>
        <v>0</v>
      </c>
      <c r="N151" s="8">
        <f t="shared" si="4"/>
        <v>196</v>
      </c>
    </row>
    <row r="152" ht="15.75" customHeight="1">
      <c r="A152" s="4" t="s">
        <v>434</v>
      </c>
      <c r="B152" s="4" t="s">
        <v>435</v>
      </c>
      <c r="C152" s="4" t="s">
        <v>15</v>
      </c>
      <c r="D152" s="4" t="s">
        <v>25</v>
      </c>
      <c r="E152" s="4" t="str">
        <f>IFERROR(VLOOKUP(D152,'Supplier Master'!$A$2:$F$16,2,FALSE()),"Supplier not found")</f>
        <v>GoldenGate Supplies</v>
      </c>
      <c r="F152" s="8">
        <v>62.0</v>
      </c>
      <c r="G152" s="8">
        <v>38.0</v>
      </c>
      <c r="H152" s="7">
        <v>899.0</v>
      </c>
      <c r="I152" s="7">
        <f t="shared" si="1"/>
        <v>55738</v>
      </c>
      <c r="J152" s="9">
        <v>46292.0</v>
      </c>
      <c r="K152" s="8">
        <f>IFERROR(VLOOKUP(D152,'Supplier Master'!$A$2:$F$16,5,FALSE()),0)</f>
        <v>6</v>
      </c>
      <c r="L152" s="4" t="str">
        <f t="shared" si="2"/>
        <v>In Stock</v>
      </c>
      <c r="M152" s="8">
        <f t="shared" si="3"/>
        <v>0</v>
      </c>
      <c r="N152" s="8">
        <f t="shared" si="4"/>
        <v>31</v>
      </c>
    </row>
    <row r="153" ht="15.75" customHeight="1">
      <c r="A153" s="4" t="s">
        <v>436</v>
      </c>
      <c r="B153" s="4" t="s">
        <v>437</v>
      </c>
      <c r="C153" s="4" t="s">
        <v>15</v>
      </c>
      <c r="D153" s="4" t="s">
        <v>48</v>
      </c>
      <c r="E153" s="4" t="str">
        <f>IFERROR(VLOOKUP(D153,'Supplier Master'!$A$2:$F$16,2,FALSE()),"Supplier not found")</f>
        <v>Delta Retail Partners</v>
      </c>
      <c r="F153" s="8">
        <v>111.0</v>
      </c>
      <c r="G153" s="8">
        <v>22.0</v>
      </c>
      <c r="H153" s="7">
        <v>549.0</v>
      </c>
      <c r="I153" s="7">
        <f t="shared" si="1"/>
        <v>60939</v>
      </c>
      <c r="J153" s="9">
        <v>46296.0</v>
      </c>
      <c r="K153" s="8">
        <f>IFERROR(VLOOKUP(D153,'Supplier Master'!$A$2:$F$16,5,FALSE()),0)</f>
        <v>7</v>
      </c>
      <c r="L153" s="4" t="str">
        <f t="shared" si="2"/>
        <v>In Stock</v>
      </c>
      <c r="M153" s="8">
        <f t="shared" si="3"/>
        <v>0</v>
      </c>
      <c r="N153" s="8">
        <f t="shared" si="4"/>
        <v>27</v>
      </c>
    </row>
    <row r="154" ht="15.75" customHeight="1">
      <c r="A154" s="4" t="s">
        <v>438</v>
      </c>
      <c r="B154" s="4" t="s">
        <v>439</v>
      </c>
      <c r="C154" s="4" t="s">
        <v>15</v>
      </c>
      <c r="D154" s="4" t="s">
        <v>48</v>
      </c>
      <c r="E154" s="4" t="str">
        <f>IFERROR(VLOOKUP(D154,'Supplier Master'!$A$2:$F$16,2,FALSE()),"Supplier not found")</f>
        <v>Delta Retail Partners</v>
      </c>
      <c r="F154" s="8">
        <v>97.0</v>
      </c>
      <c r="G154" s="8">
        <v>40.0</v>
      </c>
      <c r="H154" s="7">
        <v>1299.0</v>
      </c>
      <c r="I154" s="7">
        <f t="shared" si="1"/>
        <v>126003</v>
      </c>
      <c r="J154" s="9">
        <v>46250.0</v>
      </c>
      <c r="K154" s="8">
        <f>IFERROR(VLOOKUP(D154,'Supplier Master'!$A$2:$F$16,5,FALSE()),0)</f>
        <v>7</v>
      </c>
      <c r="L154" s="4" t="str">
        <f t="shared" si="2"/>
        <v>In Stock</v>
      </c>
      <c r="M154" s="8">
        <f t="shared" si="3"/>
        <v>0</v>
      </c>
      <c r="N154" s="8">
        <f t="shared" si="4"/>
        <v>73</v>
      </c>
    </row>
    <row r="155" ht="15.75" customHeight="1">
      <c r="A155" s="4" t="s">
        <v>440</v>
      </c>
      <c r="B155" s="4" t="s">
        <v>441</v>
      </c>
      <c r="C155" s="4" t="s">
        <v>15</v>
      </c>
      <c r="D155" s="4" t="s">
        <v>25</v>
      </c>
      <c r="E155" s="4" t="str">
        <f>IFERROR(VLOOKUP(D155,'Supplier Master'!$A$2:$F$16,2,FALSE()),"Supplier not found")</f>
        <v>GoldenGate Supplies</v>
      </c>
      <c r="F155" s="8">
        <v>62.0</v>
      </c>
      <c r="G155" s="8">
        <v>47.0</v>
      </c>
      <c r="H155" s="7">
        <v>349.0</v>
      </c>
      <c r="I155" s="7">
        <f t="shared" si="1"/>
        <v>21638</v>
      </c>
      <c r="J155" s="9">
        <v>46200.0</v>
      </c>
      <c r="K155" s="8">
        <f>IFERROR(VLOOKUP(D155,'Supplier Master'!$A$2:$F$16,5,FALSE()),0)</f>
        <v>6</v>
      </c>
      <c r="L155" s="4" t="str">
        <f t="shared" si="2"/>
        <v>In Stock</v>
      </c>
      <c r="M155" s="8">
        <f t="shared" si="3"/>
        <v>0</v>
      </c>
      <c r="N155" s="8">
        <f t="shared" si="4"/>
        <v>123</v>
      </c>
    </row>
    <row r="156" ht="15.75" customHeight="1">
      <c r="A156" s="4" t="s">
        <v>442</v>
      </c>
      <c r="B156" s="4" t="s">
        <v>443</v>
      </c>
      <c r="C156" s="4" t="s">
        <v>15</v>
      </c>
      <c r="D156" s="4" t="s">
        <v>64</v>
      </c>
      <c r="E156" s="4" t="str">
        <f>IFERROR(VLOOKUP(D156,'Supplier Master'!$A$2:$F$16,2,FALSE()),"Supplier not found")</f>
        <v>Indigo Industrial Supply</v>
      </c>
      <c r="F156" s="8">
        <v>18.0</v>
      </c>
      <c r="G156" s="8">
        <v>18.0</v>
      </c>
      <c r="H156" s="7">
        <v>899.0</v>
      </c>
      <c r="I156" s="7">
        <f t="shared" si="1"/>
        <v>16182</v>
      </c>
      <c r="J156" s="9">
        <v>46276.0</v>
      </c>
      <c r="K156" s="8">
        <f>IFERROR(VLOOKUP(D156,'Supplier Master'!$A$2:$F$16,5,FALSE()),0)</f>
        <v>8</v>
      </c>
      <c r="L156" s="4" t="str">
        <f t="shared" si="2"/>
        <v>In Stock</v>
      </c>
      <c r="M156" s="8">
        <f t="shared" si="3"/>
        <v>0</v>
      </c>
      <c r="N156" s="8">
        <f t="shared" si="4"/>
        <v>47</v>
      </c>
    </row>
    <row r="157" ht="15.75" customHeight="1">
      <c r="A157" s="4" t="s">
        <v>444</v>
      </c>
      <c r="B157" s="4" t="s">
        <v>445</v>
      </c>
      <c r="C157" s="4" t="s">
        <v>190</v>
      </c>
      <c r="D157" s="4" t="s">
        <v>70</v>
      </c>
      <c r="E157" s="4" t="str">
        <f>IFERROR(VLOOKUP(D157,'Supplier Master'!$A$2:$F$16,2,FALSE()),"Supplier not found")</f>
        <v>Evergreen Traders</v>
      </c>
      <c r="F157" s="8">
        <v>75.0</v>
      </c>
      <c r="G157" s="8">
        <v>75.0</v>
      </c>
      <c r="H157" s="7">
        <v>449.0</v>
      </c>
      <c r="I157" s="7">
        <f t="shared" si="1"/>
        <v>33675</v>
      </c>
      <c r="J157" s="9">
        <v>46302.0</v>
      </c>
      <c r="K157" s="8">
        <f>IFERROR(VLOOKUP(D157,'Supplier Master'!$A$2:$F$16,5,FALSE()),0)</f>
        <v>2</v>
      </c>
      <c r="L157" s="4" t="str">
        <f t="shared" si="2"/>
        <v>In Stock</v>
      </c>
      <c r="M157" s="8">
        <f t="shared" si="3"/>
        <v>0</v>
      </c>
      <c r="N157" s="8">
        <f t="shared" si="4"/>
        <v>21</v>
      </c>
    </row>
    <row r="158" ht="15.75" customHeight="1">
      <c r="A158" s="4" t="s">
        <v>446</v>
      </c>
      <c r="B158" s="4" t="s">
        <v>447</v>
      </c>
      <c r="C158" s="4" t="s">
        <v>190</v>
      </c>
      <c r="D158" s="4" t="s">
        <v>138</v>
      </c>
      <c r="E158" s="4" t="str">
        <f>IFERROR(VLOOKUP(D158,'Supplier Master'!$A$2:$F$16,2,FALSE()),"Supplier not found")</f>
        <v>Lotus Market Supply</v>
      </c>
      <c r="F158" s="8">
        <v>51.0</v>
      </c>
      <c r="G158" s="8">
        <v>60.0</v>
      </c>
      <c r="H158" s="7">
        <v>189.0</v>
      </c>
      <c r="I158" s="7">
        <f t="shared" si="1"/>
        <v>9639</v>
      </c>
      <c r="J158" s="9">
        <v>46174.0</v>
      </c>
      <c r="K158" s="8">
        <f>IFERROR(VLOOKUP(D158,'Supplier Master'!$A$2:$F$16,5,FALSE()),0)</f>
        <v>3</v>
      </c>
      <c r="L158" s="4" t="str">
        <f t="shared" si="2"/>
        <v>Low Stock</v>
      </c>
      <c r="M158" s="8">
        <f t="shared" si="3"/>
        <v>69</v>
      </c>
      <c r="N158" s="8">
        <f t="shared" si="4"/>
        <v>149</v>
      </c>
    </row>
    <row r="159" ht="15.75" customHeight="1">
      <c r="A159" s="4" t="s">
        <v>448</v>
      </c>
      <c r="B159" s="4" t="s">
        <v>449</v>
      </c>
      <c r="C159" s="4" t="s">
        <v>190</v>
      </c>
      <c r="D159" s="4" t="s">
        <v>70</v>
      </c>
      <c r="E159" s="4" t="str">
        <f>IFERROR(VLOOKUP(D159,'Supplier Master'!$A$2:$F$16,2,FALSE()),"Supplier not found")</f>
        <v>Evergreen Traders</v>
      </c>
      <c r="F159" s="8">
        <v>413.0</v>
      </c>
      <c r="G159" s="8">
        <v>73.0</v>
      </c>
      <c r="H159" s="7">
        <v>99.0</v>
      </c>
      <c r="I159" s="7">
        <f t="shared" si="1"/>
        <v>40887</v>
      </c>
      <c r="J159" s="9">
        <v>46282.0</v>
      </c>
      <c r="K159" s="8">
        <f>IFERROR(VLOOKUP(D159,'Supplier Master'!$A$2:$F$16,5,FALSE()),0)</f>
        <v>2</v>
      </c>
      <c r="L159" s="4" t="str">
        <f t="shared" si="2"/>
        <v>In Stock</v>
      </c>
      <c r="M159" s="8">
        <f t="shared" si="3"/>
        <v>0</v>
      </c>
      <c r="N159" s="8">
        <f t="shared" si="4"/>
        <v>41</v>
      </c>
    </row>
    <row r="160" ht="15.75" customHeight="1">
      <c r="A160" s="4" t="s">
        <v>450</v>
      </c>
      <c r="B160" s="4" t="s">
        <v>451</v>
      </c>
      <c r="C160" s="4" t="s">
        <v>190</v>
      </c>
      <c r="D160" s="4" t="s">
        <v>118</v>
      </c>
      <c r="E160" s="4" t="str">
        <f>IFERROR(VLOOKUP(D160,'Supplier Master'!$A$2:$F$16,2,FALSE()),"Supplier not found")</f>
        <v>Jasmine General Trading</v>
      </c>
      <c r="F160" s="8">
        <v>389.0</v>
      </c>
      <c r="G160" s="8">
        <v>65.0</v>
      </c>
      <c r="H160" s="7">
        <v>249.0</v>
      </c>
      <c r="I160" s="7">
        <f t="shared" si="1"/>
        <v>96861</v>
      </c>
      <c r="J160" s="9">
        <v>46283.0</v>
      </c>
      <c r="K160" s="8">
        <f>IFERROR(VLOOKUP(D160,'Supplier Master'!$A$2:$F$16,5,FALSE()),0)</f>
        <v>4</v>
      </c>
      <c r="L160" s="4" t="str">
        <f t="shared" si="2"/>
        <v>In Stock</v>
      </c>
      <c r="M160" s="8">
        <f t="shared" si="3"/>
        <v>0</v>
      </c>
      <c r="N160" s="8">
        <f t="shared" si="4"/>
        <v>40</v>
      </c>
    </row>
    <row r="161" ht="15.75" customHeight="1">
      <c r="A161" s="4" t="s">
        <v>452</v>
      </c>
      <c r="B161" s="4" t="s">
        <v>453</v>
      </c>
      <c r="C161" s="4" t="s">
        <v>190</v>
      </c>
      <c r="D161" s="4" t="s">
        <v>138</v>
      </c>
      <c r="E161" s="4" t="str">
        <f>IFERROR(VLOOKUP(D161,'Supplier Master'!$A$2:$F$16,2,FALSE()),"Supplier not found")</f>
        <v>Lotus Market Supply</v>
      </c>
      <c r="F161" s="8">
        <v>265.0</v>
      </c>
      <c r="G161" s="8">
        <v>81.0</v>
      </c>
      <c r="H161" s="7">
        <v>359.0</v>
      </c>
      <c r="I161" s="7">
        <f t="shared" si="1"/>
        <v>95135</v>
      </c>
      <c r="J161" s="9">
        <v>46218.0</v>
      </c>
      <c r="K161" s="8">
        <f>IFERROR(VLOOKUP(D161,'Supplier Master'!$A$2:$F$16,5,FALSE()),0)</f>
        <v>3</v>
      </c>
      <c r="L161" s="4" t="str">
        <f t="shared" si="2"/>
        <v>In Stock</v>
      </c>
      <c r="M161" s="8">
        <f t="shared" si="3"/>
        <v>0</v>
      </c>
      <c r="N161" s="8">
        <f t="shared" si="4"/>
        <v>105</v>
      </c>
    </row>
    <row r="162" ht="15.75" customHeight="1">
      <c r="A162" s="4" t="s">
        <v>454</v>
      </c>
      <c r="B162" s="4" t="s">
        <v>455</v>
      </c>
      <c r="C162" s="4" t="s">
        <v>251</v>
      </c>
      <c r="D162" s="4" t="s">
        <v>98</v>
      </c>
      <c r="E162" s="4" t="str">
        <f>IFERROR(VLOOKUP(D162,'Supplier Master'!$A$2:$F$16,2,FALSE()),"Supplier not found")</f>
        <v>Horizon Merchants</v>
      </c>
      <c r="F162" s="8">
        <v>13.0</v>
      </c>
      <c r="G162" s="8">
        <v>20.0</v>
      </c>
      <c r="H162" s="7">
        <v>149.0</v>
      </c>
      <c r="I162" s="7">
        <f t="shared" si="1"/>
        <v>1937</v>
      </c>
      <c r="J162" s="9">
        <v>46295.0</v>
      </c>
      <c r="K162" s="8">
        <f>IFERROR(VLOOKUP(D162,'Supplier Master'!$A$2:$F$16,5,FALSE()),0)</f>
        <v>5</v>
      </c>
      <c r="L162" s="4" t="str">
        <f t="shared" si="2"/>
        <v>Low Stock</v>
      </c>
      <c r="M162" s="8">
        <f t="shared" si="3"/>
        <v>27</v>
      </c>
      <c r="N162" s="8">
        <f t="shared" si="4"/>
        <v>28</v>
      </c>
    </row>
    <row r="163" ht="15.75" customHeight="1">
      <c r="A163" s="4" t="s">
        <v>456</v>
      </c>
      <c r="B163" s="4" t="s">
        <v>457</v>
      </c>
      <c r="C163" s="4" t="s">
        <v>251</v>
      </c>
      <c r="D163" s="4" t="s">
        <v>118</v>
      </c>
      <c r="E163" s="4" t="str">
        <f>IFERROR(VLOOKUP(D163,'Supplier Master'!$A$2:$F$16,2,FALSE()),"Supplier not found")</f>
        <v>Jasmine General Trading</v>
      </c>
      <c r="F163" s="8">
        <v>252.0</v>
      </c>
      <c r="G163" s="8">
        <v>71.0</v>
      </c>
      <c r="H163" s="7">
        <v>249.0</v>
      </c>
      <c r="I163" s="7">
        <f t="shared" si="1"/>
        <v>62748</v>
      </c>
      <c r="J163" s="9">
        <v>46194.0</v>
      </c>
      <c r="K163" s="8">
        <f>IFERROR(VLOOKUP(D163,'Supplier Master'!$A$2:$F$16,5,FALSE()),0)</f>
        <v>4</v>
      </c>
      <c r="L163" s="4" t="str">
        <f t="shared" si="2"/>
        <v>In Stock</v>
      </c>
      <c r="M163" s="8">
        <f t="shared" si="3"/>
        <v>0</v>
      </c>
      <c r="N163" s="8">
        <f t="shared" si="4"/>
        <v>129</v>
      </c>
    </row>
    <row r="164" ht="15.75" customHeight="1">
      <c r="A164" s="4" t="s">
        <v>458</v>
      </c>
      <c r="B164" s="4" t="s">
        <v>459</v>
      </c>
      <c r="C164" s="4" t="s">
        <v>251</v>
      </c>
      <c r="D164" s="4" t="s">
        <v>49</v>
      </c>
      <c r="E164" s="4" t="str">
        <f>IFERROR(VLOOKUP(D164,'Supplier Master'!$A$2:$F$16,2,FALSE()),"Supplier not found")</f>
        <v>Cedar Supply Co.</v>
      </c>
      <c r="F164" s="8">
        <v>233.0</v>
      </c>
      <c r="G164" s="8">
        <v>64.0</v>
      </c>
      <c r="H164" s="7">
        <v>99.0</v>
      </c>
      <c r="I164" s="7">
        <f t="shared" si="1"/>
        <v>23067</v>
      </c>
      <c r="J164" s="9">
        <v>46270.0</v>
      </c>
      <c r="K164" s="8">
        <f>IFERROR(VLOOKUP(D164,'Supplier Master'!$A$2:$F$16,5,FALSE()),0)</f>
        <v>4</v>
      </c>
      <c r="L164" s="4" t="str">
        <f t="shared" si="2"/>
        <v>In Stock</v>
      </c>
      <c r="M164" s="8">
        <f t="shared" si="3"/>
        <v>0</v>
      </c>
      <c r="N164" s="8">
        <f t="shared" si="4"/>
        <v>53</v>
      </c>
    </row>
    <row r="165" ht="15.75" customHeight="1">
      <c r="A165" s="4" t="s">
        <v>460</v>
      </c>
      <c r="B165" s="4" t="s">
        <v>461</v>
      </c>
      <c r="C165" s="4" t="s">
        <v>302</v>
      </c>
      <c r="D165" s="4" t="s">
        <v>48</v>
      </c>
      <c r="E165" s="4" t="str">
        <f>IFERROR(VLOOKUP(D165,'Supplier Master'!$A$2:$F$16,2,FALSE()),"Supplier not found")</f>
        <v>Delta Retail Partners</v>
      </c>
      <c r="F165" s="8">
        <v>68.0</v>
      </c>
      <c r="G165" s="8">
        <v>50.0</v>
      </c>
      <c r="H165" s="7">
        <v>849.0</v>
      </c>
      <c r="I165" s="7">
        <f t="shared" si="1"/>
        <v>57732</v>
      </c>
      <c r="J165" s="9">
        <v>46217.0</v>
      </c>
      <c r="K165" s="8">
        <f>IFERROR(VLOOKUP(D165,'Supplier Master'!$A$2:$F$16,5,FALSE()),0)</f>
        <v>7</v>
      </c>
      <c r="L165" s="4" t="str">
        <f t="shared" si="2"/>
        <v>In Stock</v>
      </c>
      <c r="M165" s="8">
        <f t="shared" si="3"/>
        <v>0</v>
      </c>
      <c r="N165" s="8">
        <f t="shared" si="4"/>
        <v>106</v>
      </c>
    </row>
    <row r="166" ht="15.75" customHeight="1">
      <c r="A166" s="4" t="s">
        <v>462</v>
      </c>
      <c r="B166" s="4" t="s">
        <v>463</v>
      </c>
      <c r="C166" s="4" t="s">
        <v>302</v>
      </c>
      <c r="D166" s="4" t="s">
        <v>130</v>
      </c>
      <c r="E166" s="4" t="str">
        <f>IFERROR(VLOOKUP(D166,'Supplier Master'!$A$2:$F$16,2,FALSE()),"Supplier not found")</f>
        <v>Keystone Products</v>
      </c>
      <c r="F166" s="8">
        <v>73.0</v>
      </c>
      <c r="G166" s="8">
        <v>44.0</v>
      </c>
      <c r="H166" s="7">
        <v>749.0</v>
      </c>
      <c r="I166" s="7">
        <f t="shared" si="1"/>
        <v>54677</v>
      </c>
      <c r="J166" s="9">
        <v>46319.0</v>
      </c>
      <c r="K166" s="8">
        <f>IFERROR(VLOOKUP(D166,'Supplier Master'!$A$2:$F$16,5,FALSE()),0)</f>
        <v>6</v>
      </c>
      <c r="L166" s="4" t="str">
        <f t="shared" si="2"/>
        <v>In Stock</v>
      </c>
      <c r="M166" s="8">
        <f t="shared" si="3"/>
        <v>0</v>
      </c>
      <c r="N166" s="8">
        <f t="shared" si="4"/>
        <v>4</v>
      </c>
    </row>
    <row r="167" ht="15.75" customHeight="1">
      <c r="A167" s="4" t="s">
        <v>464</v>
      </c>
      <c r="B167" s="4" t="s">
        <v>465</v>
      </c>
      <c r="C167" s="4" t="s">
        <v>302</v>
      </c>
      <c r="D167" s="4" t="s">
        <v>98</v>
      </c>
      <c r="E167" s="4" t="str">
        <f>IFERROR(VLOOKUP(D167,'Supplier Master'!$A$2:$F$16,2,FALSE()),"Supplier not found")</f>
        <v>Horizon Merchants</v>
      </c>
      <c r="F167" s="8">
        <v>89.0</v>
      </c>
      <c r="G167" s="8">
        <v>43.0</v>
      </c>
      <c r="H167" s="7">
        <v>549.0</v>
      </c>
      <c r="I167" s="7">
        <f t="shared" si="1"/>
        <v>48861</v>
      </c>
      <c r="J167" s="9">
        <v>46251.0</v>
      </c>
      <c r="K167" s="8">
        <f>IFERROR(VLOOKUP(D167,'Supplier Master'!$A$2:$F$16,5,FALSE()),0)</f>
        <v>5</v>
      </c>
      <c r="L167" s="4" t="str">
        <f t="shared" si="2"/>
        <v>In Stock</v>
      </c>
      <c r="M167" s="8">
        <f t="shared" si="3"/>
        <v>0</v>
      </c>
      <c r="N167" s="8">
        <f t="shared" si="4"/>
        <v>72</v>
      </c>
    </row>
    <row r="168" ht="15.75" customHeight="1">
      <c r="A168" s="4" t="s">
        <v>466</v>
      </c>
      <c r="B168" s="4" t="s">
        <v>467</v>
      </c>
      <c r="C168" s="4" t="s">
        <v>302</v>
      </c>
      <c r="D168" s="4" t="s">
        <v>48</v>
      </c>
      <c r="E168" s="4" t="str">
        <f>IFERROR(VLOOKUP(D168,'Supplier Master'!$A$2:$F$16,2,FALSE()),"Supplier not found")</f>
        <v>Delta Retail Partners</v>
      </c>
      <c r="F168" s="8">
        <v>105.0</v>
      </c>
      <c r="G168" s="8">
        <v>19.0</v>
      </c>
      <c r="H168" s="7">
        <v>699.0</v>
      </c>
      <c r="I168" s="7">
        <f t="shared" si="1"/>
        <v>73395</v>
      </c>
      <c r="J168" s="9">
        <v>46237.0</v>
      </c>
      <c r="K168" s="8">
        <f>IFERROR(VLOOKUP(D168,'Supplier Master'!$A$2:$F$16,5,FALSE()),0)</f>
        <v>7</v>
      </c>
      <c r="L168" s="4" t="str">
        <f t="shared" si="2"/>
        <v>In Stock</v>
      </c>
      <c r="M168" s="8">
        <f t="shared" si="3"/>
        <v>0</v>
      </c>
      <c r="N168" s="8">
        <f t="shared" si="4"/>
        <v>86</v>
      </c>
    </row>
    <row r="169" ht="15.75" customHeight="1">
      <c r="A169" s="4" t="s">
        <v>468</v>
      </c>
      <c r="B169" s="4" t="s">
        <v>469</v>
      </c>
      <c r="C169" s="4" t="s">
        <v>302</v>
      </c>
      <c r="D169" s="4" t="s">
        <v>48</v>
      </c>
      <c r="E169" s="4" t="str">
        <f>IFERROR(VLOOKUP(D169,'Supplier Master'!$A$2:$F$16,2,FALSE()),"Supplier not found")</f>
        <v>Delta Retail Partners</v>
      </c>
      <c r="F169" s="8">
        <v>85.0</v>
      </c>
      <c r="G169" s="8">
        <v>27.0</v>
      </c>
      <c r="H169" s="7">
        <v>599.0</v>
      </c>
      <c r="I169" s="7">
        <f t="shared" si="1"/>
        <v>50915</v>
      </c>
      <c r="J169" s="9">
        <v>46258.0</v>
      </c>
      <c r="K169" s="8">
        <f>IFERROR(VLOOKUP(D169,'Supplier Master'!$A$2:$F$16,5,FALSE()),0)</f>
        <v>7</v>
      </c>
      <c r="L169" s="4" t="str">
        <f t="shared" si="2"/>
        <v>In Stock</v>
      </c>
      <c r="M169" s="8">
        <f t="shared" si="3"/>
        <v>0</v>
      </c>
      <c r="N169" s="8">
        <f t="shared" si="4"/>
        <v>65</v>
      </c>
    </row>
    <row r="170" ht="15.75" customHeight="1">
      <c r="A170" s="4" t="s">
        <v>470</v>
      </c>
      <c r="B170" s="4" t="s">
        <v>471</v>
      </c>
      <c r="C170" s="4" t="s">
        <v>353</v>
      </c>
      <c r="D170" s="4" t="s">
        <v>138</v>
      </c>
      <c r="E170" s="4" t="str">
        <f>IFERROR(VLOOKUP(D170,'Supplier Master'!$A$2:$F$16,2,FALSE()),"Supplier not found")</f>
        <v>Lotus Market Supply</v>
      </c>
      <c r="F170" s="8">
        <v>9.0</v>
      </c>
      <c r="G170" s="8">
        <v>15.0</v>
      </c>
      <c r="H170" s="7">
        <v>499.0</v>
      </c>
      <c r="I170" s="7">
        <f t="shared" si="1"/>
        <v>4491</v>
      </c>
      <c r="J170" s="9">
        <v>46164.0</v>
      </c>
      <c r="K170" s="8">
        <f>IFERROR(VLOOKUP(D170,'Supplier Master'!$A$2:$F$16,5,FALSE()),0)</f>
        <v>3</v>
      </c>
      <c r="L170" s="4" t="str">
        <f t="shared" si="2"/>
        <v>Low Stock</v>
      </c>
      <c r="M170" s="8">
        <f t="shared" si="3"/>
        <v>21</v>
      </c>
      <c r="N170" s="8">
        <f t="shared" si="4"/>
        <v>159</v>
      </c>
    </row>
    <row r="171" ht="15.75" customHeight="1">
      <c r="A171" s="4" t="s">
        <v>472</v>
      </c>
      <c r="B171" s="4" t="s">
        <v>473</v>
      </c>
      <c r="C171" s="4" t="s">
        <v>353</v>
      </c>
      <c r="D171" s="4" t="s">
        <v>118</v>
      </c>
      <c r="E171" s="4" t="str">
        <f>IFERROR(VLOOKUP(D171,'Supplier Master'!$A$2:$F$16,2,FALSE()),"Supplier not found")</f>
        <v>Jasmine General Trading</v>
      </c>
      <c r="F171" s="8">
        <v>5.0</v>
      </c>
      <c r="G171" s="8">
        <v>25.0</v>
      </c>
      <c r="H171" s="7">
        <v>999.0</v>
      </c>
      <c r="I171" s="7">
        <f t="shared" si="1"/>
        <v>4995</v>
      </c>
      <c r="J171" s="9">
        <v>46282.0</v>
      </c>
      <c r="K171" s="8">
        <f>IFERROR(VLOOKUP(D171,'Supplier Master'!$A$2:$F$16,5,FALSE()),0)</f>
        <v>4</v>
      </c>
      <c r="L171" s="4" t="str">
        <f t="shared" si="2"/>
        <v>Low Stock</v>
      </c>
      <c r="M171" s="8">
        <f t="shared" si="3"/>
        <v>45</v>
      </c>
      <c r="N171" s="8">
        <f t="shared" si="4"/>
        <v>41</v>
      </c>
    </row>
    <row r="172" ht="15.75" customHeight="1">
      <c r="A172" s="4" t="s">
        <v>474</v>
      </c>
      <c r="B172" s="4" t="s">
        <v>475</v>
      </c>
      <c r="C172" s="4" t="s">
        <v>353</v>
      </c>
      <c r="D172" s="4" t="s">
        <v>138</v>
      </c>
      <c r="E172" s="4" t="str">
        <f>IFERROR(VLOOKUP(D172,'Supplier Master'!$A$2:$F$16,2,FALSE()),"Supplier not found")</f>
        <v>Lotus Market Supply</v>
      </c>
      <c r="F172" s="8">
        <v>61.0</v>
      </c>
      <c r="G172" s="8">
        <v>50.0</v>
      </c>
      <c r="H172" s="7">
        <v>199.0</v>
      </c>
      <c r="I172" s="7">
        <f t="shared" si="1"/>
        <v>12139</v>
      </c>
      <c r="J172" s="9">
        <v>46313.0</v>
      </c>
      <c r="K172" s="8">
        <f>IFERROR(VLOOKUP(D172,'Supplier Master'!$A$2:$F$16,5,FALSE()),0)</f>
        <v>3</v>
      </c>
      <c r="L172" s="4" t="str">
        <f t="shared" si="2"/>
        <v>In Stock</v>
      </c>
      <c r="M172" s="8">
        <f t="shared" si="3"/>
        <v>0</v>
      </c>
      <c r="N172" s="8">
        <f t="shared" si="4"/>
        <v>10</v>
      </c>
    </row>
    <row r="173" ht="15.75" customHeight="1">
      <c r="A173" s="4" t="s">
        <v>476</v>
      </c>
      <c r="B173" s="4" t="s">
        <v>477</v>
      </c>
      <c r="C173" s="4" t="s">
        <v>353</v>
      </c>
      <c r="D173" s="4" t="s">
        <v>118</v>
      </c>
      <c r="E173" s="4" t="str">
        <f>IFERROR(VLOOKUP(D173,'Supplier Master'!$A$2:$F$16,2,FALSE()),"Supplier not found")</f>
        <v>Jasmine General Trading</v>
      </c>
      <c r="F173" s="8">
        <v>62.0</v>
      </c>
      <c r="G173" s="8">
        <v>18.0</v>
      </c>
      <c r="H173" s="7">
        <v>249.0</v>
      </c>
      <c r="I173" s="7">
        <f t="shared" si="1"/>
        <v>15438</v>
      </c>
      <c r="J173" s="9">
        <v>46176.0</v>
      </c>
      <c r="K173" s="8">
        <f>IFERROR(VLOOKUP(D173,'Supplier Master'!$A$2:$F$16,5,FALSE()),0)</f>
        <v>4</v>
      </c>
      <c r="L173" s="4" t="str">
        <f t="shared" si="2"/>
        <v>In Stock</v>
      </c>
      <c r="M173" s="8">
        <f t="shared" si="3"/>
        <v>0</v>
      </c>
      <c r="N173" s="8">
        <f t="shared" si="4"/>
        <v>147</v>
      </c>
    </row>
    <row r="174" ht="15.75" customHeight="1">
      <c r="A174" s="4" t="s">
        <v>478</v>
      </c>
      <c r="B174" s="4" t="s">
        <v>479</v>
      </c>
      <c r="C174" s="4" t="s">
        <v>394</v>
      </c>
      <c r="D174" s="4" t="s">
        <v>25</v>
      </c>
      <c r="E174" s="4" t="str">
        <f>IFERROR(VLOOKUP(D174,'Supplier Master'!$A$2:$F$16,2,FALSE()),"Supplier not found")</f>
        <v>GoldenGate Supplies</v>
      </c>
      <c r="F174" s="8">
        <v>29.0</v>
      </c>
      <c r="G174" s="8">
        <v>15.0</v>
      </c>
      <c r="H174" s="7">
        <v>899.0</v>
      </c>
      <c r="I174" s="7">
        <f t="shared" si="1"/>
        <v>26071</v>
      </c>
      <c r="J174" s="9">
        <v>46177.0</v>
      </c>
      <c r="K174" s="8">
        <f>IFERROR(VLOOKUP(D174,'Supplier Master'!$A$2:$F$16,5,FALSE()),0)</f>
        <v>6</v>
      </c>
      <c r="L174" s="4" t="str">
        <f t="shared" si="2"/>
        <v>In Stock</v>
      </c>
      <c r="M174" s="8">
        <f t="shared" si="3"/>
        <v>0</v>
      </c>
      <c r="N174" s="8">
        <f t="shared" si="4"/>
        <v>146</v>
      </c>
    </row>
    <row r="175" ht="15.75" customHeight="1">
      <c r="A175" s="4" t="s">
        <v>480</v>
      </c>
      <c r="B175" s="4" t="s">
        <v>481</v>
      </c>
      <c r="C175" s="4" t="s">
        <v>394</v>
      </c>
      <c r="D175" s="4" t="s">
        <v>64</v>
      </c>
      <c r="E175" s="4" t="str">
        <f>IFERROR(VLOOKUP(D175,'Supplier Master'!$A$2:$F$16,2,FALSE()),"Supplier not found")</f>
        <v>Indigo Industrial Supply</v>
      </c>
      <c r="F175" s="8">
        <v>213.0</v>
      </c>
      <c r="G175" s="8">
        <v>42.0</v>
      </c>
      <c r="H175" s="7">
        <v>299.0</v>
      </c>
      <c r="I175" s="7">
        <f t="shared" si="1"/>
        <v>63687</v>
      </c>
      <c r="J175" s="9">
        <v>46276.0</v>
      </c>
      <c r="K175" s="8">
        <f>IFERROR(VLOOKUP(D175,'Supplier Master'!$A$2:$F$16,5,FALSE()),0)</f>
        <v>8</v>
      </c>
      <c r="L175" s="4" t="str">
        <f t="shared" si="2"/>
        <v>In Stock</v>
      </c>
      <c r="M175" s="8">
        <f t="shared" si="3"/>
        <v>0</v>
      </c>
      <c r="N175" s="8">
        <f t="shared" si="4"/>
        <v>47</v>
      </c>
    </row>
    <row r="176" ht="15.75" customHeight="1">
      <c r="A176" s="4" t="s">
        <v>482</v>
      </c>
      <c r="B176" s="4" t="s">
        <v>483</v>
      </c>
      <c r="C176" s="4" t="s">
        <v>394</v>
      </c>
      <c r="D176" s="4" t="s">
        <v>64</v>
      </c>
      <c r="E176" s="4" t="str">
        <f>IFERROR(VLOOKUP(D176,'Supplier Master'!$A$2:$F$16,2,FALSE()),"Supplier not found")</f>
        <v>Indigo Industrial Supply</v>
      </c>
      <c r="F176" s="8">
        <v>9.0</v>
      </c>
      <c r="G176" s="8">
        <v>34.0</v>
      </c>
      <c r="H176" s="7">
        <v>499.0</v>
      </c>
      <c r="I176" s="7">
        <f t="shared" si="1"/>
        <v>4491</v>
      </c>
      <c r="J176" s="9">
        <v>46161.0</v>
      </c>
      <c r="K176" s="8">
        <f>IFERROR(VLOOKUP(D176,'Supplier Master'!$A$2:$F$16,5,FALSE()),0)</f>
        <v>8</v>
      </c>
      <c r="L176" s="4" t="str">
        <f t="shared" si="2"/>
        <v>Low Stock</v>
      </c>
      <c r="M176" s="8">
        <f t="shared" si="3"/>
        <v>59</v>
      </c>
      <c r="N176" s="8">
        <f t="shared" si="4"/>
        <v>162</v>
      </c>
    </row>
    <row r="177" ht="15.75" customHeight="1">
      <c r="A177" s="4" t="s">
        <v>484</v>
      </c>
      <c r="B177" s="4" t="s">
        <v>485</v>
      </c>
      <c r="C177" s="4" t="s">
        <v>415</v>
      </c>
      <c r="D177" s="4" t="s">
        <v>150</v>
      </c>
      <c r="E177" s="4" t="str">
        <f>IFERROR(VLOOKUP(D177,'Supplier Master'!$A$2:$F$16,2,FALSE()),"Supplier not found")</f>
        <v>Maple Books Distribution</v>
      </c>
      <c r="F177" s="8">
        <v>104.0</v>
      </c>
      <c r="G177" s="8">
        <v>36.0</v>
      </c>
      <c r="H177" s="7">
        <v>499.0</v>
      </c>
      <c r="I177" s="7">
        <f t="shared" si="1"/>
        <v>51896</v>
      </c>
      <c r="J177" s="9">
        <v>46149.0</v>
      </c>
      <c r="K177" s="8">
        <f>IFERROR(VLOOKUP(D177,'Supplier Master'!$A$2:$F$16,5,FALSE()),0)</f>
        <v>4</v>
      </c>
      <c r="L177" s="4" t="str">
        <f t="shared" si="2"/>
        <v>In Stock</v>
      </c>
      <c r="M177" s="8">
        <f t="shared" si="3"/>
        <v>0</v>
      </c>
      <c r="N177" s="8">
        <f t="shared" si="4"/>
        <v>174</v>
      </c>
    </row>
    <row r="178" ht="15.75" customHeight="1">
      <c r="A178" s="4" t="s">
        <v>486</v>
      </c>
      <c r="B178" s="4" t="s">
        <v>487</v>
      </c>
      <c r="C178" s="4" t="s">
        <v>415</v>
      </c>
      <c r="D178" s="4" t="s">
        <v>159</v>
      </c>
      <c r="E178" s="4" t="str">
        <f>IFERROR(VLOOKUP(D178,'Supplier Master'!$A$2:$F$16,2,FALSE()),"Supplier not found")</f>
        <v>Nilgiri Publishers Hub</v>
      </c>
      <c r="F178" s="8">
        <v>116.0</v>
      </c>
      <c r="G178" s="8">
        <v>26.0</v>
      </c>
      <c r="H178" s="7">
        <v>249.0</v>
      </c>
      <c r="I178" s="7">
        <f t="shared" si="1"/>
        <v>28884</v>
      </c>
      <c r="J178" s="9">
        <v>46258.0</v>
      </c>
      <c r="K178" s="8">
        <f>IFERROR(VLOOKUP(D178,'Supplier Master'!$A$2:$F$16,5,FALSE()),0)</f>
        <v>3</v>
      </c>
      <c r="L178" s="4" t="str">
        <f t="shared" si="2"/>
        <v>In Stock</v>
      </c>
      <c r="M178" s="8">
        <f t="shared" si="3"/>
        <v>0</v>
      </c>
      <c r="N178" s="8">
        <f t="shared" si="4"/>
        <v>65</v>
      </c>
    </row>
    <row r="179" ht="15.75" customHeight="1">
      <c r="A179" s="4" t="s">
        <v>488</v>
      </c>
      <c r="B179" s="4" t="s">
        <v>489</v>
      </c>
      <c r="C179" s="4" t="s">
        <v>415</v>
      </c>
      <c r="D179" s="4" t="s">
        <v>167</v>
      </c>
      <c r="E179" s="4" t="str">
        <f>IFERROR(VLOOKUP(D179,'Supplier Master'!$A$2:$F$16,2,FALSE()),"Supplier not found")</f>
        <v>Orchid Media Traders</v>
      </c>
      <c r="F179" s="8">
        <v>35.0</v>
      </c>
      <c r="G179" s="8">
        <v>39.0</v>
      </c>
      <c r="H179" s="7">
        <v>299.0</v>
      </c>
      <c r="I179" s="7">
        <f t="shared" si="1"/>
        <v>10465</v>
      </c>
      <c r="J179" s="9">
        <v>46289.0</v>
      </c>
      <c r="K179" s="8">
        <f>IFERROR(VLOOKUP(D179,'Supplier Master'!$A$2:$F$16,5,FALSE()),0)</f>
        <v>5</v>
      </c>
      <c r="L179" s="4" t="str">
        <f t="shared" si="2"/>
        <v>Low Stock</v>
      </c>
      <c r="M179" s="8">
        <f t="shared" si="3"/>
        <v>43</v>
      </c>
      <c r="N179" s="8">
        <f t="shared" si="4"/>
        <v>34</v>
      </c>
    </row>
    <row r="180" ht="15.75" customHeight="1">
      <c r="A180" s="4" t="s">
        <v>490</v>
      </c>
      <c r="B180" s="4" t="s">
        <v>491</v>
      </c>
      <c r="C180" s="4" t="s">
        <v>415</v>
      </c>
      <c r="D180" s="4" t="s">
        <v>150</v>
      </c>
      <c r="E180" s="4" t="str">
        <f>IFERROR(VLOOKUP(D180,'Supplier Master'!$A$2:$F$16,2,FALSE()),"Supplier not found")</f>
        <v>Maple Books Distribution</v>
      </c>
      <c r="F180" s="8">
        <v>30.0</v>
      </c>
      <c r="G180" s="8">
        <v>14.0</v>
      </c>
      <c r="H180" s="7">
        <v>275.0</v>
      </c>
      <c r="I180" s="7">
        <f t="shared" si="1"/>
        <v>8250</v>
      </c>
      <c r="J180" s="9">
        <v>46302.0</v>
      </c>
      <c r="K180" s="8">
        <f>IFERROR(VLOOKUP(D180,'Supplier Master'!$A$2:$F$16,5,FALSE()),0)</f>
        <v>4</v>
      </c>
      <c r="L180" s="4" t="str">
        <f t="shared" si="2"/>
        <v>In Stock</v>
      </c>
      <c r="M180" s="8">
        <f t="shared" si="3"/>
        <v>0</v>
      </c>
      <c r="N180" s="8">
        <f t="shared" si="4"/>
        <v>21</v>
      </c>
    </row>
    <row r="181" ht="15.75" customHeight="1">
      <c r="A181" s="4" t="s">
        <v>492</v>
      </c>
      <c r="B181" s="4" t="s">
        <v>493</v>
      </c>
      <c r="C181" s="4" t="s">
        <v>415</v>
      </c>
      <c r="D181" s="4" t="s">
        <v>159</v>
      </c>
      <c r="E181" s="4" t="str">
        <f>IFERROR(VLOOKUP(D181,'Supplier Master'!$A$2:$F$16,2,FALSE()),"Supplier not found")</f>
        <v>Nilgiri Publishers Hub</v>
      </c>
      <c r="F181" s="8">
        <v>106.0</v>
      </c>
      <c r="G181" s="8">
        <v>24.0</v>
      </c>
      <c r="H181" s="7">
        <v>299.0</v>
      </c>
      <c r="I181" s="7">
        <f t="shared" si="1"/>
        <v>31694</v>
      </c>
      <c r="J181" s="9">
        <v>46160.0</v>
      </c>
      <c r="K181" s="8">
        <f>IFERROR(VLOOKUP(D181,'Supplier Master'!$A$2:$F$16,5,FALSE()),0)</f>
        <v>3</v>
      </c>
      <c r="L181" s="4" t="str">
        <f t="shared" si="2"/>
        <v>In Stock</v>
      </c>
      <c r="M181" s="8">
        <f t="shared" si="3"/>
        <v>0</v>
      </c>
      <c r="N181" s="8">
        <f t="shared" si="4"/>
        <v>163</v>
      </c>
    </row>
    <row r="182" ht="15.75" customHeight="1">
      <c r="A182" s="4" t="s">
        <v>494</v>
      </c>
      <c r="B182" s="4" t="s">
        <v>495</v>
      </c>
      <c r="C182" s="4" t="s">
        <v>415</v>
      </c>
      <c r="D182" s="4" t="s">
        <v>167</v>
      </c>
      <c r="E182" s="4" t="str">
        <f>IFERROR(VLOOKUP(D182,'Supplier Master'!$A$2:$F$16,2,FALSE()),"Supplier not found")</f>
        <v>Orchid Media Traders</v>
      </c>
      <c r="F182" s="8">
        <v>9.0</v>
      </c>
      <c r="G182" s="8">
        <v>11.0</v>
      </c>
      <c r="H182" s="7">
        <v>349.0</v>
      </c>
      <c r="I182" s="7">
        <f t="shared" si="1"/>
        <v>3141</v>
      </c>
      <c r="J182" s="9">
        <v>46154.0</v>
      </c>
      <c r="K182" s="8">
        <f>IFERROR(VLOOKUP(D182,'Supplier Master'!$A$2:$F$16,5,FALSE()),0)</f>
        <v>5</v>
      </c>
      <c r="L182" s="4" t="str">
        <f t="shared" si="2"/>
        <v>Low Stock</v>
      </c>
      <c r="M182" s="8">
        <f t="shared" si="3"/>
        <v>13</v>
      </c>
      <c r="N182" s="8">
        <f t="shared" si="4"/>
        <v>169</v>
      </c>
    </row>
    <row r="183" ht="15.75" customHeight="1">
      <c r="A183" s="4" t="s">
        <v>496</v>
      </c>
      <c r="B183" s="4" t="s">
        <v>497</v>
      </c>
      <c r="C183" s="4" t="s">
        <v>415</v>
      </c>
      <c r="D183" s="4" t="s">
        <v>150</v>
      </c>
      <c r="E183" s="4" t="str">
        <f>IFERROR(VLOOKUP(D183,'Supplier Master'!$A$2:$F$16,2,FALSE()),"Supplier not found")</f>
        <v>Maple Books Distribution</v>
      </c>
      <c r="F183" s="8">
        <v>102.0</v>
      </c>
      <c r="G183" s="8">
        <v>24.0</v>
      </c>
      <c r="H183" s="7">
        <v>199.0</v>
      </c>
      <c r="I183" s="7">
        <f t="shared" si="1"/>
        <v>20298</v>
      </c>
      <c r="J183" s="9">
        <v>46266.0</v>
      </c>
      <c r="K183" s="8">
        <f>IFERROR(VLOOKUP(D183,'Supplier Master'!$A$2:$F$16,5,FALSE()),0)</f>
        <v>4</v>
      </c>
      <c r="L183" s="4" t="str">
        <f t="shared" si="2"/>
        <v>In Stock</v>
      </c>
      <c r="M183" s="8">
        <f t="shared" si="3"/>
        <v>0</v>
      </c>
      <c r="N183" s="8">
        <f t="shared" si="4"/>
        <v>57</v>
      </c>
    </row>
    <row r="184" ht="15.75" customHeight="1">
      <c r="A184" s="4" t="s">
        <v>498</v>
      </c>
      <c r="B184" s="4" t="s">
        <v>499</v>
      </c>
      <c r="C184" s="4" t="s">
        <v>415</v>
      </c>
      <c r="D184" s="4" t="s">
        <v>159</v>
      </c>
      <c r="E184" s="4" t="str">
        <f>IFERROR(VLOOKUP(D184,'Supplier Master'!$A$2:$F$16,2,FALSE()),"Supplier not found")</f>
        <v>Nilgiri Publishers Hub</v>
      </c>
      <c r="F184" s="8">
        <v>31.0</v>
      </c>
      <c r="G184" s="8">
        <v>14.0</v>
      </c>
      <c r="H184" s="7">
        <v>399.0</v>
      </c>
      <c r="I184" s="7">
        <f t="shared" si="1"/>
        <v>12369</v>
      </c>
      <c r="J184" s="9">
        <v>46275.0</v>
      </c>
      <c r="K184" s="8">
        <f>IFERROR(VLOOKUP(D184,'Supplier Master'!$A$2:$F$16,5,FALSE()),0)</f>
        <v>3</v>
      </c>
      <c r="L184" s="4" t="str">
        <f t="shared" si="2"/>
        <v>In Stock</v>
      </c>
      <c r="M184" s="8">
        <f t="shared" si="3"/>
        <v>0</v>
      </c>
      <c r="N184" s="8">
        <f t="shared" si="4"/>
        <v>48</v>
      </c>
    </row>
    <row r="185" ht="15.75" customHeight="1">
      <c r="A185" s="4" t="s">
        <v>500</v>
      </c>
      <c r="B185" s="4" t="s">
        <v>501</v>
      </c>
      <c r="C185" s="4" t="s">
        <v>415</v>
      </c>
      <c r="D185" s="4" t="s">
        <v>167</v>
      </c>
      <c r="E185" s="4" t="str">
        <f>IFERROR(VLOOKUP(D185,'Supplier Master'!$A$2:$F$16,2,FALSE()),"Supplier not found")</f>
        <v>Orchid Media Traders</v>
      </c>
      <c r="F185" s="8">
        <v>0.0</v>
      </c>
      <c r="G185" s="8">
        <v>15.0</v>
      </c>
      <c r="H185" s="7">
        <v>349.0</v>
      </c>
      <c r="I185" s="7">
        <f t="shared" si="1"/>
        <v>0</v>
      </c>
      <c r="J185" s="9">
        <v>46312.0</v>
      </c>
      <c r="K185" s="8">
        <f>IFERROR(VLOOKUP(D185,'Supplier Master'!$A$2:$F$16,5,FALSE()),0)</f>
        <v>5</v>
      </c>
      <c r="L185" s="4" t="str">
        <f t="shared" si="2"/>
        <v>Out of Stock</v>
      </c>
      <c r="M185" s="8">
        <f t="shared" si="3"/>
        <v>30</v>
      </c>
      <c r="N185" s="8">
        <f t="shared" si="4"/>
        <v>11</v>
      </c>
    </row>
    <row r="186" ht="15.75" customHeight="1">
      <c r="A186" s="4" t="s">
        <v>502</v>
      </c>
      <c r="B186" s="4" t="s">
        <v>503</v>
      </c>
      <c r="C186" s="4" t="s">
        <v>415</v>
      </c>
      <c r="D186" s="4" t="s">
        <v>150</v>
      </c>
      <c r="E186" s="4" t="str">
        <f>IFERROR(VLOOKUP(D186,'Supplier Master'!$A$2:$F$16,2,FALSE()),"Supplier not found")</f>
        <v>Maple Books Distribution</v>
      </c>
      <c r="F186" s="8">
        <v>82.0</v>
      </c>
      <c r="G186" s="8">
        <v>22.0</v>
      </c>
      <c r="H186" s="7">
        <v>229.0</v>
      </c>
      <c r="I186" s="7">
        <f t="shared" si="1"/>
        <v>18778</v>
      </c>
      <c r="J186" s="9">
        <v>46163.0</v>
      </c>
      <c r="K186" s="8">
        <f>IFERROR(VLOOKUP(D186,'Supplier Master'!$A$2:$F$16,5,FALSE()),0)</f>
        <v>4</v>
      </c>
      <c r="L186" s="4" t="str">
        <f t="shared" si="2"/>
        <v>In Stock</v>
      </c>
      <c r="M186" s="8">
        <f t="shared" si="3"/>
        <v>0</v>
      </c>
      <c r="N186" s="8">
        <f t="shared" si="4"/>
        <v>160</v>
      </c>
    </row>
    <row r="187" ht="15.75" customHeight="1">
      <c r="A187" s="4" t="s">
        <v>504</v>
      </c>
      <c r="B187" s="4" t="s">
        <v>505</v>
      </c>
      <c r="C187" s="4" t="s">
        <v>415</v>
      </c>
      <c r="D187" s="4" t="s">
        <v>159</v>
      </c>
      <c r="E187" s="4" t="str">
        <f>IFERROR(VLOOKUP(D187,'Supplier Master'!$A$2:$F$16,2,FALSE()),"Supplier not found")</f>
        <v>Nilgiri Publishers Hub</v>
      </c>
      <c r="F187" s="8">
        <v>6.0</v>
      </c>
      <c r="G187" s="8">
        <v>19.0</v>
      </c>
      <c r="H187" s="7">
        <v>399.0</v>
      </c>
      <c r="I187" s="7">
        <f t="shared" si="1"/>
        <v>2394</v>
      </c>
      <c r="J187" s="9">
        <v>46261.0</v>
      </c>
      <c r="K187" s="8">
        <f>IFERROR(VLOOKUP(D187,'Supplier Master'!$A$2:$F$16,5,FALSE()),0)</f>
        <v>3</v>
      </c>
      <c r="L187" s="4" t="str">
        <f t="shared" si="2"/>
        <v>Low Stock</v>
      </c>
      <c r="M187" s="8">
        <f t="shared" si="3"/>
        <v>32</v>
      </c>
      <c r="N187" s="8">
        <f t="shared" si="4"/>
        <v>62</v>
      </c>
    </row>
    <row r="188" ht="15.75" customHeight="1">
      <c r="A188" s="4" t="s">
        <v>506</v>
      </c>
      <c r="B188" s="4" t="s">
        <v>507</v>
      </c>
      <c r="C188" s="4" t="s">
        <v>415</v>
      </c>
      <c r="D188" s="4" t="s">
        <v>167</v>
      </c>
      <c r="E188" s="4" t="str">
        <f>IFERROR(VLOOKUP(D188,'Supplier Master'!$A$2:$F$16,2,FALSE()),"Supplier not found")</f>
        <v>Orchid Media Traders</v>
      </c>
      <c r="F188" s="8">
        <v>87.0</v>
      </c>
      <c r="G188" s="8">
        <v>34.0</v>
      </c>
      <c r="H188" s="7">
        <v>575.0</v>
      </c>
      <c r="I188" s="7">
        <f t="shared" si="1"/>
        <v>50025</v>
      </c>
      <c r="J188" s="9">
        <v>46188.0</v>
      </c>
      <c r="K188" s="8">
        <f>IFERROR(VLOOKUP(D188,'Supplier Master'!$A$2:$F$16,5,FALSE()),0)</f>
        <v>5</v>
      </c>
      <c r="L188" s="4" t="str">
        <f t="shared" si="2"/>
        <v>In Stock</v>
      </c>
      <c r="M188" s="8">
        <f t="shared" si="3"/>
        <v>0</v>
      </c>
      <c r="N188" s="8">
        <f t="shared" si="4"/>
        <v>135</v>
      </c>
    </row>
    <row r="189" ht="15.75" customHeight="1">
      <c r="A189" s="4" t="s">
        <v>508</v>
      </c>
      <c r="B189" s="4" t="s">
        <v>509</v>
      </c>
      <c r="C189" s="4" t="s">
        <v>415</v>
      </c>
      <c r="D189" s="4" t="s">
        <v>150</v>
      </c>
      <c r="E189" s="4" t="str">
        <f>IFERROR(VLOOKUP(D189,'Supplier Master'!$A$2:$F$16,2,FALSE()),"Supplier not found")</f>
        <v>Maple Books Distribution</v>
      </c>
      <c r="F189" s="8">
        <v>46.0</v>
      </c>
      <c r="G189" s="8">
        <v>26.0</v>
      </c>
      <c r="H189" s="7">
        <v>149.0</v>
      </c>
      <c r="I189" s="7">
        <f t="shared" si="1"/>
        <v>6854</v>
      </c>
      <c r="J189" s="9">
        <v>46277.0</v>
      </c>
      <c r="K189" s="8">
        <f>IFERROR(VLOOKUP(D189,'Supplier Master'!$A$2:$F$16,5,FALSE()),0)</f>
        <v>4</v>
      </c>
      <c r="L189" s="4" t="str">
        <f t="shared" si="2"/>
        <v>In Stock</v>
      </c>
      <c r="M189" s="8">
        <f t="shared" si="3"/>
        <v>0</v>
      </c>
      <c r="N189" s="8">
        <f t="shared" si="4"/>
        <v>46</v>
      </c>
    </row>
    <row r="190" ht="15.75" customHeight="1">
      <c r="A190" s="4" t="s">
        <v>510</v>
      </c>
      <c r="B190" s="4" t="s">
        <v>511</v>
      </c>
      <c r="C190" s="4" t="s">
        <v>415</v>
      </c>
      <c r="D190" s="4" t="s">
        <v>159</v>
      </c>
      <c r="E190" s="4" t="str">
        <f>IFERROR(VLOOKUP(D190,'Supplier Master'!$A$2:$F$16,2,FALSE()),"Supplier not found")</f>
        <v>Nilgiri Publishers Hub</v>
      </c>
      <c r="F190" s="8">
        <v>12.0</v>
      </c>
      <c r="G190" s="8">
        <v>36.0</v>
      </c>
      <c r="H190" s="7">
        <v>399.0</v>
      </c>
      <c r="I190" s="7">
        <f t="shared" si="1"/>
        <v>4788</v>
      </c>
      <c r="J190" s="9">
        <v>46144.0</v>
      </c>
      <c r="K190" s="8">
        <f>IFERROR(VLOOKUP(D190,'Supplier Master'!$A$2:$F$16,5,FALSE()),0)</f>
        <v>3</v>
      </c>
      <c r="L190" s="4" t="str">
        <f t="shared" si="2"/>
        <v>Low Stock</v>
      </c>
      <c r="M190" s="8">
        <f t="shared" si="3"/>
        <v>60</v>
      </c>
      <c r="N190" s="8">
        <f t="shared" si="4"/>
        <v>179</v>
      </c>
    </row>
    <row r="191" ht="15.75" customHeight="1">
      <c r="A191" s="4" t="s">
        <v>512</v>
      </c>
      <c r="B191" s="4" t="s">
        <v>513</v>
      </c>
      <c r="C191" s="4" t="s">
        <v>415</v>
      </c>
      <c r="D191" s="4" t="s">
        <v>167</v>
      </c>
      <c r="E191" s="4" t="str">
        <f>IFERROR(VLOOKUP(D191,'Supplier Master'!$A$2:$F$16,2,FALSE()),"Supplier not found")</f>
        <v>Orchid Media Traders</v>
      </c>
      <c r="F191" s="8">
        <v>105.0</v>
      </c>
      <c r="G191" s="8">
        <v>38.0</v>
      </c>
      <c r="H191" s="7">
        <v>199.0</v>
      </c>
      <c r="I191" s="7">
        <f t="shared" si="1"/>
        <v>20895</v>
      </c>
      <c r="J191" s="9">
        <v>46282.0</v>
      </c>
      <c r="K191" s="8">
        <f>IFERROR(VLOOKUP(D191,'Supplier Master'!$A$2:$F$16,5,FALSE()),0)</f>
        <v>5</v>
      </c>
      <c r="L191" s="4" t="str">
        <f t="shared" si="2"/>
        <v>In Stock</v>
      </c>
      <c r="M191" s="8">
        <f t="shared" si="3"/>
        <v>0</v>
      </c>
      <c r="N191" s="8">
        <f t="shared" si="4"/>
        <v>41</v>
      </c>
    </row>
    <row r="192" ht="15.75" customHeight="1">
      <c r="A192" s="4" t="s">
        <v>514</v>
      </c>
      <c r="B192" s="4" t="s">
        <v>515</v>
      </c>
      <c r="C192" s="4" t="s">
        <v>415</v>
      </c>
      <c r="D192" s="4" t="s">
        <v>150</v>
      </c>
      <c r="E192" s="4" t="str">
        <f>IFERROR(VLOOKUP(D192,'Supplier Master'!$A$2:$F$16,2,FALSE()),"Supplier not found")</f>
        <v>Maple Books Distribution</v>
      </c>
      <c r="F192" s="8">
        <v>33.0</v>
      </c>
      <c r="G192" s="8">
        <v>40.0</v>
      </c>
      <c r="H192" s="7">
        <v>399.0</v>
      </c>
      <c r="I192" s="7">
        <f t="shared" si="1"/>
        <v>13167</v>
      </c>
      <c r="J192" s="9">
        <v>46233.0</v>
      </c>
      <c r="K192" s="8">
        <f>IFERROR(VLOOKUP(D192,'Supplier Master'!$A$2:$F$16,5,FALSE()),0)</f>
        <v>4</v>
      </c>
      <c r="L192" s="4" t="str">
        <f t="shared" si="2"/>
        <v>Low Stock</v>
      </c>
      <c r="M192" s="8">
        <f t="shared" si="3"/>
        <v>47</v>
      </c>
      <c r="N192" s="8">
        <f t="shared" si="4"/>
        <v>90</v>
      </c>
    </row>
    <row r="193" ht="15.75" customHeight="1">
      <c r="A193" s="4" t="s">
        <v>516</v>
      </c>
      <c r="B193" s="4" t="s">
        <v>517</v>
      </c>
      <c r="C193" s="4" t="s">
        <v>415</v>
      </c>
      <c r="D193" s="4" t="s">
        <v>159</v>
      </c>
      <c r="E193" s="4" t="str">
        <f>IFERROR(VLOOKUP(D193,'Supplier Master'!$A$2:$F$16,2,FALSE()),"Supplier not found")</f>
        <v>Nilgiri Publishers Hub</v>
      </c>
      <c r="F193" s="8">
        <v>33.0</v>
      </c>
      <c r="G193" s="8">
        <v>13.0</v>
      </c>
      <c r="H193" s="7">
        <v>149.0</v>
      </c>
      <c r="I193" s="7">
        <f t="shared" si="1"/>
        <v>4917</v>
      </c>
      <c r="J193" s="9">
        <v>46288.0</v>
      </c>
      <c r="K193" s="8">
        <f>IFERROR(VLOOKUP(D193,'Supplier Master'!$A$2:$F$16,5,FALSE()),0)</f>
        <v>3</v>
      </c>
      <c r="L193" s="4" t="str">
        <f t="shared" si="2"/>
        <v>In Stock</v>
      </c>
      <c r="M193" s="8">
        <f t="shared" si="3"/>
        <v>0</v>
      </c>
      <c r="N193" s="8">
        <f t="shared" si="4"/>
        <v>35</v>
      </c>
    </row>
    <row r="194" ht="15.75" customHeight="1">
      <c r="A194" s="4" t="s">
        <v>518</v>
      </c>
      <c r="B194" s="4" t="s">
        <v>519</v>
      </c>
      <c r="C194" s="4" t="s">
        <v>415</v>
      </c>
      <c r="D194" s="4" t="s">
        <v>167</v>
      </c>
      <c r="E194" s="4" t="str">
        <f>IFERROR(VLOOKUP(D194,'Supplier Master'!$A$2:$F$16,2,FALSE()),"Supplier not found")</f>
        <v>Orchid Media Traders</v>
      </c>
      <c r="F194" s="8">
        <v>69.0</v>
      </c>
      <c r="G194" s="8">
        <v>28.0</v>
      </c>
      <c r="H194" s="7">
        <v>129.0</v>
      </c>
      <c r="I194" s="7">
        <f t="shared" si="1"/>
        <v>8901</v>
      </c>
      <c r="J194" s="9">
        <v>46285.0</v>
      </c>
      <c r="K194" s="8">
        <f>IFERROR(VLOOKUP(D194,'Supplier Master'!$A$2:$F$16,5,FALSE()),0)</f>
        <v>5</v>
      </c>
      <c r="L194" s="4" t="str">
        <f t="shared" si="2"/>
        <v>In Stock</v>
      </c>
      <c r="M194" s="8">
        <f t="shared" si="3"/>
        <v>0</v>
      </c>
      <c r="N194" s="8">
        <f t="shared" si="4"/>
        <v>38</v>
      </c>
    </row>
    <row r="195" ht="15.75" customHeight="1">
      <c r="A195" s="4" t="s">
        <v>520</v>
      </c>
      <c r="B195" s="4" t="s">
        <v>521</v>
      </c>
      <c r="C195" s="4" t="s">
        <v>415</v>
      </c>
      <c r="D195" s="4" t="s">
        <v>150</v>
      </c>
      <c r="E195" s="4" t="str">
        <f>IFERROR(VLOOKUP(D195,'Supplier Master'!$A$2:$F$16,2,FALSE()),"Supplier not found")</f>
        <v>Maple Books Distribution</v>
      </c>
      <c r="F195" s="8">
        <v>21.0</v>
      </c>
      <c r="G195" s="8">
        <v>13.0</v>
      </c>
      <c r="H195" s="7">
        <v>399.0</v>
      </c>
      <c r="I195" s="7">
        <f t="shared" si="1"/>
        <v>8379</v>
      </c>
      <c r="J195" s="9">
        <v>46254.0</v>
      </c>
      <c r="K195" s="8">
        <f>IFERROR(VLOOKUP(D195,'Supplier Master'!$A$2:$F$16,5,FALSE()),0)</f>
        <v>4</v>
      </c>
      <c r="L195" s="4" t="str">
        <f t="shared" si="2"/>
        <v>In Stock</v>
      </c>
      <c r="M195" s="8">
        <f t="shared" si="3"/>
        <v>0</v>
      </c>
      <c r="N195" s="8">
        <f t="shared" si="4"/>
        <v>69</v>
      </c>
    </row>
    <row r="196" ht="15.75" customHeight="1">
      <c r="A196" s="4" t="s">
        <v>522</v>
      </c>
      <c r="B196" s="4" t="s">
        <v>523</v>
      </c>
      <c r="C196" s="4" t="s">
        <v>415</v>
      </c>
      <c r="D196" s="4" t="s">
        <v>159</v>
      </c>
      <c r="E196" s="4" t="str">
        <f>IFERROR(VLOOKUP(D196,'Supplier Master'!$A$2:$F$16,2,FALSE()),"Supplier not found")</f>
        <v>Nilgiri Publishers Hub</v>
      </c>
      <c r="F196" s="8">
        <v>62.0</v>
      </c>
      <c r="G196" s="8">
        <v>13.0</v>
      </c>
      <c r="H196" s="7">
        <v>699.0</v>
      </c>
      <c r="I196" s="7">
        <f t="shared" si="1"/>
        <v>43338</v>
      </c>
      <c r="J196" s="9">
        <v>46190.0</v>
      </c>
      <c r="K196" s="8">
        <f>IFERROR(VLOOKUP(D196,'Supplier Master'!$A$2:$F$16,5,FALSE()),0)</f>
        <v>3</v>
      </c>
      <c r="L196" s="4" t="str">
        <f t="shared" si="2"/>
        <v>In Stock</v>
      </c>
      <c r="M196" s="8">
        <f t="shared" si="3"/>
        <v>0</v>
      </c>
      <c r="N196" s="8">
        <f t="shared" si="4"/>
        <v>133</v>
      </c>
    </row>
    <row r="197" ht="15.75" customHeight="1">
      <c r="A197" s="4" t="s">
        <v>524</v>
      </c>
      <c r="B197" s="4" t="s">
        <v>525</v>
      </c>
      <c r="C197" s="4" t="s">
        <v>415</v>
      </c>
      <c r="D197" s="4" t="s">
        <v>167</v>
      </c>
      <c r="E197" s="4" t="str">
        <f>IFERROR(VLOOKUP(D197,'Supplier Master'!$A$2:$F$16,2,FALSE()),"Supplier not found")</f>
        <v>Orchid Media Traders</v>
      </c>
      <c r="F197" s="8">
        <v>104.0</v>
      </c>
      <c r="G197" s="8">
        <v>26.0</v>
      </c>
      <c r="H197" s="7">
        <v>499.0</v>
      </c>
      <c r="I197" s="7">
        <f t="shared" si="1"/>
        <v>51896</v>
      </c>
      <c r="J197" s="9">
        <v>46159.0</v>
      </c>
      <c r="K197" s="8">
        <f>IFERROR(VLOOKUP(D197,'Supplier Master'!$A$2:$F$16,5,FALSE()),0)</f>
        <v>5</v>
      </c>
      <c r="L197" s="4" t="str">
        <f t="shared" si="2"/>
        <v>In Stock</v>
      </c>
      <c r="M197" s="8">
        <f t="shared" si="3"/>
        <v>0</v>
      </c>
      <c r="N197" s="8">
        <f t="shared" si="4"/>
        <v>164</v>
      </c>
    </row>
    <row r="198" ht="15.75" customHeight="1">
      <c r="A198" s="4" t="s">
        <v>526</v>
      </c>
      <c r="B198" s="4" t="s">
        <v>527</v>
      </c>
      <c r="C198" s="4" t="s">
        <v>415</v>
      </c>
      <c r="D198" s="4" t="s">
        <v>150</v>
      </c>
      <c r="E198" s="4" t="str">
        <f>IFERROR(VLOOKUP(D198,'Supplier Master'!$A$2:$F$16,2,FALSE()),"Supplier not found")</f>
        <v>Maple Books Distribution</v>
      </c>
      <c r="F198" s="8">
        <v>0.0</v>
      </c>
      <c r="G198" s="8">
        <v>39.0</v>
      </c>
      <c r="H198" s="7">
        <v>149.0</v>
      </c>
      <c r="I198" s="7">
        <f t="shared" si="1"/>
        <v>0</v>
      </c>
      <c r="J198" s="9">
        <v>46223.0</v>
      </c>
      <c r="K198" s="8">
        <f>IFERROR(VLOOKUP(D198,'Supplier Master'!$A$2:$F$16,5,FALSE()),0)</f>
        <v>4</v>
      </c>
      <c r="L198" s="4" t="str">
        <f t="shared" si="2"/>
        <v>Out of Stock</v>
      </c>
      <c r="M198" s="8">
        <f t="shared" si="3"/>
        <v>78</v>
      </c>
      <c r="N198" s="8">
        <f t="shared" si="4"/>
        <v>100</v>
      </c>
    </row>
    <row r="199" ht="15.75" customHeight="1">
      <c r="A199" s="4" t="s">
        <v>528</v>
      </c>
      <c r="B199" s="4" t="s">
        <v>529</v>
      </c>
      <c r="C199" s="4" t="s">
        <v>415</v>
      </c>
      <c r="D199" s="4" t="s">
        <v>159</v>
      </c>
      <c r="E199" s="4" t="str">
        <f>IFERROR(VLOOKUP(D199,'Supplier Master'!$A$2:$F$16,2,FALSE()),"Supplier not found")</f>
        <v>Nilgiri Publishers Hub</v>
      </c>
      <c r="F199" s="8">
        <v>22.0</v>
      </c>
      <c r="G199" s="8">
        <v>18.0</v>
      </c>
      <c r="H199" s="7">
        <v>299.0</v>
      </c>
      <c r="I199" s="7">
        <f t="shared" si="1"/>
        <v>6578</v>
      </c>
      <c r="J199" s="9">
        <v>46208.0</v>
      </c>
      <c r="K199" s="8">
        <f>IFERROR(VLOOKUP(D199,'Supplier Master'!$A$2:$F$16,5,FALSE()),0)</f>
        <v>3</v>
      </c>
      <c r="L199" s="4" t="str">
        <f t="shared" si="2"/>
        <v>In Stock</v>
      </c>
      <c r="M199" s="8">
        <f t="shared" si="3"/>
        <v>0</v>
      </c>
      <c r="N199" s="8">
        <f t="shared" si="4"/>
        <v>115</v>
      </c>
    </row>
    <row r="200" ht="15.75" customHeight="1">
      <c r="A200" s="4" t="s">
        <v>530</v>
      </c>
      <c r="B200" s="4" t="s">
        <v>531</v>
      </c>
      <c r="C200" s="4" t="s">
        <v>415</v>
      </c>
      <c r="D200" s="4" t="s">
        <v>167</v>
      </c>
      <c r="E200" s="4" t="str">
        <f>IFERROR(VLOOKUP(D200,'Supplier Master'!$A$2:$F$16,2,FALSE()),"Supplier not found")</f>
        <v>Orchid Media Traders</v>
      </c>
      <c r="F200" s="8">
        <v>10.0</v>
      </c>
      <c r="G200" s="8">
        <v>40.0</v>
      </c>
      <c r="H200" s="7">
        <v>199.0</v>
      </c>
      <c r="I200" s="7">
        <f t="shared" si="1"/>
        <v>1990</v>
      </c>
      <c r="J200" s="9">
        <v>46148.0</v>
      </c>
      <c r="K200" s="8">
        <f>IFERROR(VLOOKUP(D200,'Supplier Master'!$A$2:$F$16,5,FALSE()),0)</f>
        <v>5</v>
      </c>
      <c r="L200" s="4" t="str">
        <f t="shared" si="2"/>
        <v>Low Stock</v>
      </c>
      <c r="M200" s="8">
        <f t="shared" si="3"/>
        <v>70</v>
      </c>
      <c r="N200" s="8">
        <f t="shared" si="4"/>
        <v>175</v>
      </c>
    </row>
    <row r="201" ht="15.75" customHeight="1">
      <c r="A201" s="4" t="s">
        <v>532</v>
      </c>
      <c r="B201" s="4" t="s">
        <v>533</v>
      </c>
      <c r="C201" s="4" t="s">
        <v>415</v>
      </c>
      <c r="D201" s="4" t="s">
        <v>150</v>
      </c>
      <c r="E201" s="4" t="str">
        <f>IFERROR(VLOOKUP(D201,'Supplier Master'!$A$2:$F$16,2,FALSE()),"Supplier not found")</f>
        <v>Maple Books Distribution</v>
      </c>
      <c r="F201" s="8">
        <v>8.0</v>
      </c>
      <c r="G201" s="8">
        <v>13.0</v>
      </c>
      <c r="H201" s="7">
        <v>249.0</v>
      </c>
      <c r="I201" s="7">
        <f t="shared" si="1"/>
        <v>1992</v>
      </c>
      <c r="J201" s="9">
        <v>46232.0</v>
      </c>
      <c r="K201" s="8">
        <f>IFERROR(VLOOKUP(D201,'Supplier Master'!$A$2:$F$16,5,FALSE()),0)</f>
        <v>4</v>
      </c>
      <c r="L201" s="4" t="str">
        <f t="shared" si="2"/>
        <v>Low Stock</v>
      </c>
      <c r="M201" s="8">
        <f t="shared" si="3"/>
        <v>18</v>
      </c>
      <c r="N201" s="8">
        <f t="shared" si="4"/>
        <v>91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51"/>
  <conditionalFormatting sqref="L2:L201">
    <cfRule type="expression" dxfId="0" priority="1">
      <formula>L2="Out of Stock"</formula>
    </cfRule>
  </conditionalFormatting>
  <conditionalFormatting sqref="L2:L201">
    <cfRule type="expression" dxfId="1" priority="2">
      <formula>L2="Low Stock"</formula>
    </cfRule>
  </conditionalFormatting>
  <conditionalFormatting sqref="L2:L201">
    <cfRule type="expression" dxfId="2" priority="3">
      <formula>L2="In Stock"</formula>
    </cfRule>
  </conditionalFormatting>
  <dataValidations>
    <dataValidation type="list" allowBlank="1" sqref="C2:C201">
      <formula1>CategoryList</formula1>
    </dataValidation>
    <dataValidation type="list" allowBlank="1" sqref="D2:D201">
      <formula1>SupplierIDList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7.0"/>
    <col customWidth="1" min="3" max="3" width="31.0"/>
    <col customWidth="1" min="4" max="4" width="22.0"/>
    <col customWidth="1" min="5" max="5" width="18.0"/>
    <col customWidth="1" min="6" max="6" width="28.0"/>
    <col customWidth="1" min="7" max="26" width="8.71"/>
  </cols>
  <sheetData>
    <row r="1" ht="31.5" customHeight="1">
      <c r="A1" s="1" t="s">
        <v>2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12</v>
      </c>
    </row>
    <row r="2">
      <c r="A2" s="4" t="s">
        <v>16</v>
      </c>
      <c r="B2" s="4" t="s">
        <v>18</v>
      </c>
      <c r="C2" s="4" t="s">
        <v>30</v>
      </c>
      <c r="D2" s="4" t="s">
        <v>32</v>
      </c>
      <c r="E2" s="4">
        <v>3.0</v>
      </c>
      <c r="F2" s="4">
        <v>24.0</v>
      </c>
    </row>
    <row r="3">
      <c r="A3" s="4" t="s">
        <v>39</v>
      </c>
      <c r="B3" s="4" t="s">
        <v>40</v>
      </c>
      <c r="C3" s="4" t="s">
        <v>43</v>
      </c>
      <c r="D3" s="4" t="s">
        <v>47</v>
      </c>
      <c r="E3" s="4">
        <v>5.0</v>
      </c>
      <c r="F3" s="4">
        <v>30.0</v>
      </c>
    </row>
    <row r="4">
      <c r="A4" s="4" t="s">
        <v>49</v>
      </c>
      <c r="B4" s="4" t="s">
        <v>51</v>
      </c>
      <c r="C4" s="4" t="s">
        <v>52</v>
      </c>
      <c r="D4" s="4" t="s">
        <v>55</v>
      </c>
      <c r="E4" s="4">
        <v>4.0</v>
      </c>
      <c r="F4" s="4">
        <v>20.0</v>
      </c>
    </row>
    <row r="5">
      <c r="A5" s="4" t="s">
        <v>48</v>
      </c>
      <c r="B5" s="4" t="s">
        <v>60</v>
      </c>
      <c r="C5" s="4" t="s">
        <v>63</v>
      </c>
      <c r="D5" s="4" t="s">
        <v>65</v>
      </c>
      <c r="E5" s="4">
        <v>7.0</v>
      </c>
      <c r="F5" s="4">
        <v>36.0</v>
      </c>
    </row>
    <row r="6">
      <c r="A6" s="4" t="s">
        <v>70</v>
      </c>
      <c r="B6" s="4" t="s">
        <v>72</v>
      </c>
      <c r="C6" s="4" t="s">
        <v>73</v>
      </c>
      <c r="D6" s="4" t="s">
        <v>76</v>
      </c>
      <c r="E6" s="4">
        <v>2.0</v>
      </c>
      <c r="F6" s="4">
        <v>18.0</v>
      </c>
    </row>
    <row r="7">
      <c r="A7" s="4" t="s">
        <v>80</v>
      </c>
      <c r="B7" s="4" t="s">
        <v>82</v>
      </c>
      <c r="C7" s="4" t="s">
        <v>85</v>
      </c>
      <c r="D7" s="4" t="s">
        <v>86</v>
      </c>
      <c r="E7" s="4">
        <v>3.0</v>
      </c>
      <c r="F7" s="4">
        <v>48.0</v>
      </c>
    </row>
    <row r="8">
      <c r="A8" s="4" t="s">
        <v>25</v>
      </c>
      <c r="B8" s="4" t="s">
        <v>92</v>
      </c>
      <c r="C8" s="4" t="s">
        <v>93</v>
      </c>
      <c r="D8" s="4" t="s">
        <v>94</v>
      </c>
      <c r="E8" s="4">
        <v>6.0</v>
      </c>
      <c r="F8" s="4">
        <v>24.0</v>
      </c>
    </row>
    <row r="9">
      <c r="A9" s="4" t="s">
        <v>98</v>
      </c>
      <c r="B9" s="4" t="s">
        <v>99</v>
      </c>
      <c r="C9" s="4" t="s">
        <v>101</v>
      </c>
      <c r="D9" s="4" t="s">
        <v>102</v>
      </c>
      <c r="E9" s="4">
        <v>5.0</v>
      </c>
      <c r="F9" s="4">
        <v>20.0</v>
      </c>
    </row>
    <row r="10">
      <c r="A10" s="4" t="s">
        <v>64</v>
      </c>
      <c r="B10" s="4" t="s">
        <v>111</v>
      </c>
      <c r="C10" s="4" t="s">
        <v>112</v>
      </c>
      <c r="D10" s="4" t="s">
        <v>114</v>
      </c>
      <c r="E10" s="4">
        <v>8.0</v>
      </c>
      <c r="F10" s="4">
        <v>40.0</v>
      </c>
    </row>
    <row r="11">
      <c r="A11" s="4" t="s">
        <v>118</v>
      </c>
      <c r="B11" s="4" t="s">
        <v>122</v>
      </c>
      <c r="C11" s="4" t="s">
        <v>124</v>
      </c>
      <c r="D11" s="4" t="s">
        <v>125</v>
      </c>
      <c r="E11" s="4">
        <v>4.0</v>
      </c>
      <c r="F11" s="4">
        <v>24.0</v>
      </c>
    </row>
    <row r="12">
      <c r="A12" s="4" t="s">
        <v>130</v>
      </c>
      <c r="B12" s="4" t="s">
        <v>131</v>
      </c>
      <c r="C12" s="4" t="s">
        <v>133</v>
      </c>
      <c r="D12" s="4" t="s">
        <v>136</v>
      </c>
      <c r="E12" s="4">
        <v>6.0</v>
      </c>
      <c r="F12" s="4">
        <v>30.0</v>
      </c>
    </row>
    <row r="13">
      <c r="A13" s="4" t="s">
        <v>138</v>
      </c>
      <c r="B13" s="4" t="s">
        <v>141</v>
      </c>
      <c r="C13" s="4" t="s">
        <v>144</v>
      </c>
      <c r="D13" s="4" t="s">
        <v>145</v>
      </c>
      <c r="E13" s="4">
        <v>3.0</v>
      </c>
      <c r="F13" s="4">
        <v>24.0</v>
      </c>
    </row>
    <row r="14">
      <c r="A14" s="4" t="s">
        <v>150</v>
      </c>
      <c r="B14" s="4" t="s">
        <v>151</v>
      </c>
      <c r="C14" s="4" t="s">
        <v>153</v>
      </c>
      <c r="D14" s="4" t="s">
        <v>154</v>
      </c>
      <c r="E14" s="4">
        <v>4.0</v>
      </c>
      <c r="F14" s="4">
        <v>40.0</v>
      </c>
    </row>
    <row r="15">
      <c r="A15" s="4" t="s">
        <v>159</v>
      </c>
      <c r="B15" s="4" t="s">
        <v>160</v>
      </c>
      <c r="C15" s="4" t="s">
        <v>163</v>
      </c>
      <c r="D15" s="4" t="s">
        <v>165</v>
      </c>
      <c r="E15" s="4">
        <v>3.0</v>
      </c>
      <c r="F15" s="4">
        <v>30.0</v>
      </c>
    </row>
    <row r="16">
      <c r="A16" s="4" t="s">
        <v>167</v>
      </c>
      <c r="B16" s="4" t="s">
        <v>169</v>
      </c>
      <c r="C16" s="4" t="s">
        <v>172</v>
      </c>
      <c r="D16" s="4" t="s">
        <v>173</v>
      </c>
      <c r="E16" s="4">
        <v>5.0</v>
      </c>
      <c r="F16" s="4">
        <v>36.0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3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7.0"/>
    <col customWidth="1" min="3" max="3" width="20.0"/>
    <col customWidth="1" min="4" max="4" width="17.57"/>
    <col customWidth="1" min="5" max="5" width="26.57"/>
    <col customWidth="1" min="6" max="26" width="8.71"/>
  </cols>
  <sheetData>
    <row r="1" ht="31.5" customHeight="1">
      <c r="A1" s="1" t="s">
        <v>0</v>
      </c>
      <c r="B1" s="1" t="s">
        <v>3</v>
      </c>
      <c r="C1" s="1" t="s">
        <v>4</v>
      </c>
      <c r="D1" s="1" t="s">
        <v>2</v>
      </c>
      <c r="E1" s="1" t="s">
        <v>7</v>
      </c>
    </row>
    <row r="2">
      <c r="A2" s="4" t="s">
        <v>9</v>
      </c>
      <c r="B2" s="4" t="s">
        <v>13</v>
      </c>
      <c r="C2" s="4" t="s">
        <v>15</v>
      </c>
      <c r="D2" s="4" t="s">
        <v>16</v>
      </c>
      <c r="E2" s="7">
        <v>499.0</v>
      </c>
    </row>
    <row r="3">
      <c r="A3" s="4" t="s">
        <v>22</v>
      </c>
      <c r="B3" s="4" t="s">
        <v>23</v>
      </c>
      <c r="C3" s="4" t="s">
        <v>15</v>
      </c>
      <c r="D3" s="4" t="s">
        <v>25</v>
      </c>
      <c r="E3" s="7">
        <v>1499.0</v>
      </c>
    </row>
    <row r="4">
      <c r="A4" s="4" t="s">
        <v>27</v>
      </c>
      <c r="B4" s="4" t="s">
        <v>28</v>
      </c>
      <c r="C4" s="4" t="s">
        <v>15</v>
      </c>
      <c r="D4" s="4" t="s">
        <v>25</v>
      </c>
      <c r="E4" s="7">
        <v>249.0</v>
      </c>
    </row>
    <row r="5">
      <c r="A5" s="4" t="s">
        <v>35</v>
      </c>
      <c r="B5" s="4" t="s">
        <v>36</v>
      </c>
      <c r="C5" s="4" t="s">
        <v>15</v>
      </c>
      <c r="D5" s="4" t="s">
        <v>39</v>
      </c>
      <c r="E5" s="7">
        <v>699.0</v>
      </c>
    </row>
    <row r="6">
      <c r="A6" s="4" t="s">
        <v>44</v>
      </c>
      <c r="B6" s="4" t="s">
        <v>45</v>
      </c>
      <c r="C6" s="4" t="s">
        <v>15</v>
      </c>
      <c r="D6" s="4" t="s">
        <v>48</v>
      </c>
      <c r="E6" s="7">
        <v>1299.0</v>
      </c>
    </row>
    <row r="7">
      <c r="A7" s="4" t="s">
        <v>53</v>
      </c>
      <c r="B7" s="4" t="s">
        <v>54</v>
      </c>
      <c r="C7" s="4" t="s">
        <v>15</v>
      </c>
      <c r="D7" s="4" t="s">
        <v>16</v>
      </c>
      <c r="E7" s="7">
        <v>599.0</v>
      </c>
    </row>
    <row r="8">
      <c r="A8" s="4" t="s">
        <v>58</v>
      </c>
      <c r="B8" s="4" t="s">
        <v>61</v>
      </c>
      <c r="C8" s="4" t="s">
        <v>15</v>
      </c>
      <c r="D8" s="4" t="s">
        <v>64</v>
      </c>
      <c r="E8" s="7">
        <v>1799.0</v>
      </c>
    </row>
    <row r="9">
      <c r="A9" s="4" t="s">
        <v>68</v>
      </c>
      <c r="B9" s="4" t="s">
        <v>69</v>
      </c>
      <c r="C9" s="4" t="s">
        <v>15</v>
      </c>
      <c r="D9" s="4" t="s">
        <v>25</v>
      </c>
      <c r="E9" s="7">
        <v>999.0</v>
      </c>
    </row>
    <row r="10">
      <c r="A10" s="4" t="s">
        <v>75</v>
      </c>
      <c r="B10" s="4" t="s">
        <v>77</v>
      </c>
      <c r="C10" s="4" t="s">
        <v>15</v>
      </c>
      <c r="D10" s="4" t="s">
        <v>39</v>
      </c>
      <c r="E10" s="7">
        <v>349.0</v>
      </c>
    </row>
    <row r="11">
      <c r="A11" s="4" t="s">
        <v>81</v>
      </c>
      <c r="B11" s="4" t="s">
        <v>83</v>
      </c>
      <c r="C11" s="4" t="s">
        <v>15</v>
      </c>
      <c r="D11" s="4" t="s">
        <v>48</v>
      </c>
      <c r="E11" s="7">
        <v>799.0</v>
      </c>
    </row>
    <row r="12">
      <c r="A12" s="4" t="s">
        <v>88</v>
      </c>
      <c r="B12" s="4" t="s">
        <v>89</v>
      </c>
      <c r="C12" s="4" t="s">
        <v>15</v>
      </c>
      <c r="D12" s="4" t="s">
        <v>48</v>
      </c>
      <c r="E12" s="7">
        <v>599.0</v>
      </c>
    </row>
    <row r="13">
      <c r="A13" s="4" t="s">
        <v>95</v>
      </c>
      <c r="B13" s="4" t="s">
        <v>97</v>
      </c>
      <c r="C13" s="4" t="s">
        <v>15</v>
      </c>
      <c r="D13" s="4" t="s">
        <v>64</v>
      </c>
      <c r="E13" s="7">
        <v>5499.0</v>
      </c>
    </row>
    <row r="14">
      <c r="A14" s="4" t="s">
        <v>103</v>
      </c>
      <c r="B14" s="4" t="s">
        <v>104</v>
      </c>
      <c r="C14" s="4" t="s">
        <v>15</v>
      </c>
      <c r="D14" s="4" t="s">
        <v>48</v>
      </c>
      <c r="E14" s="7">
        <v>1699.0</v>
      </c>
    </row>
    <row r="15">
      <c r="A15" s="4" t="s">
        <v>107</v>
      </c>
      <c r="B15" s="4" t="s">
        <v>109</v>
      </c>
      <c r="C15" s="4" t="s">
        <v>15</v>
      </c>
      <c r="D15" s="4" t="s">
        <v>39</v>
      </c>
      <c r="E15" s="7">
        <v>899.0</v>
      </c>
    </row>
    <row r="16">
      <c r="A16" s="4" t="s">
        <v>113</v>
      </c>
      <c r="B16" s="4" t="s">
        <v>116</v>
      </c>
      <c r="C16" s="4" t="s">
        <v>15</v>
      </c>
      <c r="D16" s="4" t="s">
        <v>39</v>
      </c>
      <c r="E16" s="7">
        <v>449.0</v>
      </c>
    </row>
    <row r="17">
      <c r="A17" s="4" t="s">
        <v>119</v>
      </c>
      <c r="B17" s="4" t="s">
        <v>121</v>
      </c>
      <c r="C17" s="4" t="s">
        <v>15</v>
      </c>
      <c r="D17" s="4" t="s">
        <v>25</v>
      </c>
      <c r="E17" s="7">
        <v>599.0</v>
      </c>
    </row>
    <row r="18">
      <c r="A18" s="4" t="s">
        <v>127</v>
      </c>
      <c r="B18" s="4" t="s">
        <v>128</v>
      </c>
      <c r="C18" s="4" t="s">
        <v>15</v>
      </c>
      <c r="D18" s="4" t="s">
        <v>16</v>
      </c>
      <c r="E18" s="7">
        <v>799.0</v>
      </c>
    </row>
    <row r="19">
      <c r="A19" s="4" t="s">
        <v>132</v>
      </c>
      <c r="B19" s="4" t="s">
        <v>135</v>
      </c>
      <c r="C19" s="4" t="s">
        <v>15</v>
      </c>
      <c r="D19" s="4" t="s">
        <v>16</v>
      </c>
      <c r="E19" s="7">
        <v>1299.0</v>
      </c>
    </row>
    <row r="20">
      <c r="A20" s="4" t="s">
        <v>139</v>
      </c>
      <c r="B20" s="4" t="s">
        <v>142</v>
      </c>
      <c r="C20" s="4" t="s">
        <v>15</v>
      </c>
      <c r="D20" s="4" t="s">
        <v>16</v>
      </c>
      <c r="E20" s="7">
        <v>549.0</v>
      </c>
    </row>
    <row r="21" ht="15.75" customHeight="1">
      <c r="A21" s="4" t="s">
        <v>147</v>
      </c>
      <c r="B21" s="4" t="s">
        <v>149</v>
      </c>
      <c r="C21" s="4" t="s">
        <v>15</v>
      </c>
      <c r="D21" s="4" t="s">
        <v>64</v>
      </c>
      <c r="E21" s="7">
        <v>849.0</v>
      </c>
    </row>
    <row r="22" ht="15.75" customHeight="1">
      <c r="A22" s="4" t="s">
        <v>155</v>
      </c>
      <c r="B22" s="4" t="s">
        <v>157</v>
      </c>
      <c r="C22" s="4" t="s">
        <v>15</v>
      </c>
      <c r="D22" s="4" t="s">
        <v>64</v>
      </c>
      <c r="E22" s="7">
        <v>1199.0</v>
      </c>
    </row>
    <row r="23" ht="15.75" customHeight="1">
      <c r="A23" s="4" t="s">
        <v>162</v>
      </c>
      <c r="B23" s="4" t="s">
        <v>164</v>
      </c>
      <c r="C23" s="4" t="s">
        <v>15</v>
      </c>
      <c r="D23" s="4" t="s">
        <v>25</v>
      </c>
      <c r="E23" s="7">
        <v>99.0</v>
      </c>
    </row>
    <row r="24" ht="15.75" customHeight="1">
      <c r="A24" s="4" t="s">
        <v>168</v>
      </c>
      <c r="B24" s="4" t="s">
        <v>171</v>
      </c>
      <c r="C24" s="4" t="s">
        <v>15</v>
      </c>
      <c r="D24" s="4" t="s">
        <v>48</v>
      </c>
      <c r="E24" s="7">
        <v>1199.0</v>
      </c>
    </row>
    <row r="25" ht="15.75" customHeight="1">
      <c r="A25" s="4" t="s">
        <v>174</v>
      </c>
      <c r="B25" s="4" t="s">
        <v>175</v>
      </c>
      <c r="C25" s="4" t="s">
        <v>15</v>
      </c>
      <c r="D25" s="4" t="s">
        <v>64</v>
      </c>
      <c r="E25" s="7">
        <v>1499.0</v>
      </c>
    </row>
    <row r="26" ht="15.75" customHeight="1">
      <c r="A26" s="4" t="s">
        <v>176</v>
      </c>
      <c r="B26" s="4" t="s">
        <v>177</v>
      </c>
      <c r="C26" s="4" t="s">
        <v>15</v>
      </c>
      <c r="D26" s="4" t="s">
        <v>64</v>
      </c>
      <c r="E26" s="7">
        <v>199.0</v>
      </c>
    </row>
    <row r="27" ht="15.75" customHeight="1">
      <c r="A27" s="4" t="s">
        <v>178</v>
      </c>
      <c r="B27" s="4" t="s">
        <v>179</v>
      </c>
      <c r="C27" s="4" t="s">
        <v>15</v>
      </c>
      <c r="D27" s="4" t="s">
        <v>48</v>
      </c>
      <c r="E27" s="7">
        <v>4499.0</v>
      </c>
    </row>
    <row r="28" ht="15.75" customHeight="1">
      <c r="A28" s="4" t="s">
        <v>180</v>
      </c>
      <c r="B28" s="4" t="s">
        <v>181</v>
      </c>
      <c r="C28" s="4" t="s">
        <v>15</v>
      </c>
      <c r="D28" s="4" t="s">
        <v>25</v>
      </c>
      <c r="E28" s="7">
        <v>299.0</v>
      </c>
    </row>
    <row r="29" ht="15.75" customHeight="1">
      <c r="A29" s="4" t="s">
        <v>182</v>
      </c>
      <c r="B29" s="4" t="s">
        <v>183</v>
      </c>
      <c r="C29" s="4" t="s">
        <v>15</v>
      </c>
      <c r="D29" s="4" t="s">
        <v>48</v>
      </c>
      <c r="E29" s="7">
        <v>599.0</v>
      </c>
    </row>
    <row r="30" ht="15.75" customHeight="1">
      <c r="A30" s="4" t="s">
        <v>184</v>
      </c>
      <c r="B30" s="4" t="s">
        <v>185</v>
      </c>
      <c r="C30" s="4" t="s">
        <v>15</v>
      </c>
      <c r="D30" s="4" t="s">
        <v>25</v>
      </c>
      <c r="E30" s="7">
        <v>449.0</v>
      </c>
    </row>
    <row r="31" ht="15.75" customHeight="1">
      <c r="A31" s="4" t="s">
        <v>186</v>
      </c>
      <c r="B31" s="4" t="s">
        <v>187</v>
      </c>
      <c r="C31" s="4" t="s">
        <v>15</v>
      </c>
      <c r="D31" s="4" t="s">
        <v>25</v>
      </c>
      <c r="E31" s="7">
        <v>1099.0</v>
      </c>
    </row>
    <row r="32" ht="15.75" customHeight="1">
      <c r="A32" s="4" t="s">
        <v>188</v>
      </c>
      <c r="B32" s="4" t="s">
        <v>189</v>
      </c>
      <c r="C32" s="4" t="s">
        <v>190</v>
      </c>
      <c r="D32" s="4" t="s">
        <v>70</v>
      </c>
      <c r="E32" s="7">
        <v>649.0</v>
      </c>
    </row>
    <row r="33" ht="15.75" customHeight="1">
      <c r="A33" s="4" t="s">
        <v>191</v>
      </c>
      <c r="B33" s="4" t="s">
        <v>192</v>
      </c>
      <c r="C33" s="4" t="s">
        <v>190</v>
      </c>
      <c r="D33" s="4" t="s">
        <v>80</v>
      </c>
      <c r="E33" s="7">
        <v>259.0</v>
      </c>
    </row>
    <row r="34" ht="15.75" customHeight="1">
      <c r="A34" s="4" t="s">
        <v>193</v>
      </c>
      <c r="B34" s="4" t="s">
        <v>194</v>
      </c>
      <c r="C34" s="4" t="s">
        <v>190</v>
      </c>
      <c r="D34" s="4" t="s">
        <v>138</v>
      </c>
      <c r="E34" s="7">
        <v>149.0</v>
      </c>
    </row>
    <row r="35" ht="15.75" customHeight="1">
      <c r="A35" s="4" t="s">
        <v>195</v>
      </c>
      <c r="B35" s="4" t="s">
        <v>196</v>
      </c>
      <c r="C35" s="4" t="s">
        <v>190</v>
      </c>
      <c r="D35" s="4" t="s">
        <v>138</v>
      </c>
      <c r="E35" s="7">
        <v>299.0</v>
      </c>
    </row>
    <row r="36" ht="15.75" customHeight="1">
      <c r="A36" s="4" t="s">
        <v>197</v>
      </c>
      <c r="B36" s="4" t="s">
        <v>198</v>
      </c>
      <c r="C36" s="4" t="s">
        <v>190</v>
      </c>
      <c r="D36" s="4" t="s">
        <v>138</v>
      </c>
      <c r="E36" s="7">
        <v>349.0</v>
      </c>
    </row>
    <row r="37" ht="15.75" customHeight="1">
      <c r="A37" s="4" t="s">
        <v>199</v>
      </c>
      <c r="B37" s="4" t="s">
        <v>200</v>
      </c>
      <c r="C37" s="4" t="s">
        <v>190</v>
      </c>
      <c r="D37" s="4" t="s">
        <v>70</v>
      </c>
      <c r="E37" s="7">
        <v>52.0</v>
      </c>
    </row>
    <row r="38" ht="15.75" customHeight="1">
      <c r="A38" s="4" t="s">
        <v>201</v>
      </c>
      <c r="B38" s="4" t="s">
        <v>202</v>
      </c>
      <c r="C38" s="4" t="s">
        <v>190</v>
      </c>
      <c r="D38" s="4" t="s">
        <v>70</v>
      </c>
      <c r="E38" s="7">
        <v>28.0</v>
      </c>
    </row>
    <row r="39" ht="15.75" customHeight="1">
      <c r="A39" s="4" t="s">
        <v>203</v>
      </c>
      <c r="B39" s="4" t="s">
        <v>204</v>
      </c>
      <c r="C39" s="4" t="s">
        <v>190</v>
      </c>
      <c r="D39" s="4" t="s">
        <v>118</v>
      </c>
      <c r="E39" s="7">
        <v>169.0</v>
      </c>
    </row>
    <row r="40" ht="15.75" customHeight="1">
      <c r="A40" s="4" t="s">
        <v>205</v>
      </c>
      <c r="B40" s="4" t="s">
        <v>206</v>
      </c>
      <c r="C40" s="4" t="s">
        <v>190</v>
      </c>
      <c r="D40" s="4" t="s">
        <v>80</v>
      </c>
      <c r="E40" s="7">
        <v>129.0</v>
      </c>
    </row>
    <row r="41" ht="15.75" customHeight="1">
      <c r="A41" s="4" t="s">
        <v>207</v>
      </c>
      <c r="B41" s="4" t="s">
        <v>208</v>
      </c>
      <c r="C41" s="4" t="s">
        <v>190</v>
      </c>
      <c r="D41" s="4" t="s">
        <v>70</v>
      </c>
      <c r="E41" s="7">
        <v>189.0</v>
      </c>
    </row>
    <row r="42" ht="15.75" customHeight="1">
      <c r="A42" s="4" t="s">
        <v>209</v>
      </c>
      <c r="B42" s="4" t="s">
        <v>210</v>
      </c>
      <c r="C42" s="4" t="s">
        <v>190</v>
      </c>
      <c r="D42" s="4" t="s">
        <v>70</v>
      </c>
      <c r="E42" s="7">
        <v>129.0</v>
      </c>
    </row>
    <row r="43" ht="15.75" customHeight="1">
      <c r="A43" s="4" t="s">
        <v>211</v>
      </c>
      <c r="B43" s="4" t="s">
        <v>212</v>
      </c>
      <c r="C43" s="4" t="s">
        <v>190</v>
      </c>
      <c r="D43" s="4" t="s">
        <v>70</v>
      </c>
      <c r="E43" s="7">
        <v>119.0</v>
      </c>
    </row>
    <row r="44" ht="15.75" customHeight="1">
      <c r="A44" s="4" t="s">
        <v>213</v>
      </c>
      <c r="B44" s="4" t="s">
        <v>214</v>
      </c>
      <c r="C44" s="4" t="s">
        <v>190</v>
      </c>
      <c r="D44" s="4" t="s">
        <v>138</v>
      </c>
      <c r="E44" s="7">
        <v>249.0</v>
      </c>
    </row>
    <row r="45" ht="15.75" customHeight="1">
      <c r="A45" s="4" t="s">
        <v>215</v>
      </c>
      <c r="B45" s="4" t="s">
        <v>216</v>
      </c>
      <c r="C45" s="4" t="s">
        <v>190</v>
      </c>
      <c r="D45" s="4" t="s">
        <v>138</v>
      </c>
      <c r="E45" s="7">
        <v>299.0</v>
      </c>
    </row>
    <row r="46" ht="15.75" customHeight="1">
      <c r="A46" s="4" t="s">
        <v>217</v>
      </c>
      <c r="B46" s="4" t="s">
        <v>218</v>
      </c>
      <c r="C46" s="4" t="s">
        <v>190</v>
      </c>
      <c r="D46" s="4" t="s">
        <v>138</v>
      </c>
      <c r="E46" s="7">
        <v>60.0</v>
      </c>
    </row>
    <row r="47" ht="15.75" customHeight="1">
      <c r="A47" s="4" t="s">
        <v>219</v>
      </c>
      <c r="B47" s="4" t="s">
        <v>220</v>
      </c>
      <c r="C47" s="4" t="s">
        <v>190</v>
      </c>
      <c r="D47" s="4" t="s">
        <v>80</v>
      </c>
      <c r="E47" s="7">
        <v>229.0</v>
      </c>
    </row>
    <row r="48" ht="15.75" customHeight="1">
      <c r="A48" s="4" t="s">
        <v>221</v>
      </c>
      <c r="B48" s="4" t="s">
        <v>222</v>
      </c>
      <c r="C48" s="4" t="s">
        <v>190</v>
      </c>
      <c r="D48" s="4" t="s">
        <v>70</v>
      </c>
      <c r="E48" s="7">
        <v>109.0</v>
      </c>
    </row>
    <row r="49" ht="15.75" customHeight="1">
      <c r="A49" s="4" t="s">
        <v>223</v>
      </c>
      <c r="B49" s="4" t="s">
        <v>224</v>
      </c>
      <c r="C49" s="4" t="s">
        <v>190</v>
      </c>
      <c r="D49" s="4" t="s">
        <v>118</v>
      </c>
      <c r="E49" s="7">
        <v>89.0</v>
      </c>
    </row>
    <row r="50" ht="15.75" customHeight="1">
      <c r="A50" s="4" t="s">
        <v>225</v>
      </c>
      <c r="B50" s="4" t="s">
        <v>226</v>
      </c>
      <c r="C50" s="4" t="s">
        <v>190</v>
      </c>
      <c r="D50" s="4" t="s">
        <v>80</v>
      </c>
      <c r="E50" s="7">
        <v>289.0</v>
      </c>
    </row>
    <row r="51" ht="15.75" customHeight="1">
      <c r="A51" s="4" t="s">
        <v>227</v>
      </c>
      <c r="B51" s="4" t="s">
        <v>228</v>
      </c>
      <c r="C51" s="4" t="s">
        <v>190</v>
      </c>
      <c r="D51" s="4" t="s">
        <v>118</v>
      </c>
      <c r="E51" s="7">
        <v>168.0</v>
      </c>
    </row>
    <row r="52" ht="15.75" customHeight="1">
      <c r="A52" s="4" t="s">
        <v>229</v>
      </c>
      <c r="B52" s="4" t="s">
        <v>230</v>
      </c>
      <c r="C52" s="4" t="s">
        <v>190</v>
      </c>
      <c r="D52" s="4" t="s">
        <v>138</v>
      </c>
      <c r="E52" s="7">
        <v>399.0</v>
      </c>
    </row>
    <row r="53" ht="15.75" customHeight="1">
      <c r="A53" s="4" t="s">
        <v>231</v>
      </c>
      <c r="B53" s="4" t="s">
        <v>232</v>
      </c>
      <c r="C53" s="4" t="s">
        <v>190</v>
      </c>
      <c r="D53" s="4" t="s">
        <v>80</v>
      </c>
      <c r="E53" s="7">
        <v>119.0</v>
      </c>
    </row>
    <row r="54" ht="15.75" customHeight="1">
      <c r="A54" s="4" t="s">
        <v>233</v>
      </c>
      <c r="B54" s="4" t="s">
        <v>234</v>
      </c>
      <c r="C54" s="4" t="s">
        <v>190</v>
      </c>
      <c r="D54" s="4" t="s">
        <v>118</v>
      </c>
      <c r="E54" s="7">
        <v>59.0</v>
      </c>
    </row>
    <row r="55" ht="15.75" customHeight="1">
      <c r="A55" s="4" t="s">
        <v>235</v>
      </c>
      <c r="B55" s="4" t="s">
        <v>236</v>
      </c>
      <c r="C55" s="4" t="s">
        <v>190</v>
      </c>
      <c r="D55" s="4" t="s">
        <v>70</v>
      </c>
      <c r="E55" s="7">
        <v>549.0</v>
      </c>
    </row>
    <row r="56" ht="15.75" customHeight="1">
      <c r="A56" s="4" t="s">
        <v>237</v>
      </c>
      <c r="B56" s="4" t="s">
        <v>238</v>
      </c>
      <c r="C56" s="4" t="s">
        <v>190</v>
      </c>
      <c r="D56" s="4" t="s">
        <v>70</v>
      </c>
      <c r="E56" s="7">
        <v>159.0</v>
      </c>
    </row>
    <row r="57" ht="15.75" customHeight="1">
      <c r="A57" s="4" t="s">
        <v>239</v>
      </c>
      <c r="B57" s="4" t="s">
        <v>240</v>
      </c>
      <c r="C57" s="4" t="s">
        <v>190</v>
      </c>
      <c r="D57" s="4" t="s">
        <v>80</v>
      </c>
      <c r="E57" s="7">
        <v>99.0</v>
      </c>
    </row>
    <row r="58" ht="15.75" customHeight="1">
      <c r="A58" s="4" t="s">
        <v>241</v>
      </c>
      <c r="B58" s="4" t="s">
        <v>242</v>
      </c>
      <c r="C58" s="4" t="s">
        <v>190</v>
      </c>
      <c r="D58" s="4" t="s">
        <v>70</v>
      </c>
      <c r="E58" s="7">
        <v>109.0</v>
      </c>
    </row>
    <row r="59" ht="15.75" customHeight="1">
      <c r="A59" s="4" t="s">
        <v>243</v>
      </c>
      <c r="B59" s="4" t="s">
        <v>244</v>
      </c>
      <c r="C59" s="4" t="s">
        <v>190</v>
      </c>
      <c r="D59" s="4" t="s">
        <v>70</v>
      </c>
      <c r="E59" s="7">
        <v>89.0</v>
      </c>
    </row>
    <row r="60" ht="15.75" customHeight="1">
      <c r="A60" s="4" t="s">
        <v>245</v>
      </c>
      <c r="B60" s="4" t="s">
        <v>246</v>
      </c>
      <c r="C60" s="4" t="s">
        <v>190</v>
      </c>
      <c r="D60" s="4" t="s">
        <v>80</v>
      </c>
      <c r="E60" s="7">
        <v>449.0</v>
      </c>
    </row>
    <row r="61" ht="15.75" customHeight="1">
      <c r="A61" s="4" t="s">
        <v>247</v>
      </c>
      <c r="B61" s="4" t="s">
        <v>248</v>
      </c>
      <c r="C61" s="4" t="s">
        <v>190</v>
      </c>
      <c r="D61" s="4" t="s">
        <v>80</v>
      </c>
      <c r="E61" s="7">
        <v>55.0</v>
      </c>
    </row>
    <row r="62" ht="15.75" customHeight="1">
      <c r="A62" s="4" t="s">
        <v>249</v>
      </c>
      <c r="B62" s="4" t="s">
        <v>250</v>
      </c>
      <c r="C62" s="4" t="s">
        <v>251</v>
      </c>
      <c r="D62" s="4" t="s">
        <v>49</v>
      </c>
      <c r="E62" s="7">
        <v>349.0</v>
      </c>
    </row>
    <row r="63" ht="15.75" customHeight="1">
      <c r="A63" s="4" t="s">
        <v>252</v>
      </c>
      <c r="B63" s="4" t="s">
        <v>253</v>
      </c>
      <c r="C63" s="4" t="s">
        <v>251</v>
      </c>
      <c r="D63" s="4" t="s">
        <v>118</v>
      </c>
      <c r="E63" s="7">
        <v>149.0</v>
      </c>
    </row>
    <row r="64" ht="15.75" customHeight="1">
      <c r="A64" s="4" t="s">
        <v>254</v>
      </c>
      <c r="B64" s="4" t="s">
        <v>255</v>
      </c>
      <c r="C64" s="4" t="s">
        <v>251</v>
      </c>
      <c r="D64" s="4" t="s">
        <v>130</v>
      </c>
      <c r="E64" s="7">
        <v>99.0</v>
      </c>
    </row>
    <row r="65" ht="15.75" customHeight="1">
      <c r="A65" s="4" t="s">
        <v>256</v>
      </c>
      <c r="B65" s="4" t="s">
        <v>257</v>
      </c>
      <c r="C65" s="4" t="s">
        <v>251</v>
      </c>
      <c r="D65" s="4" t="s">
        <v>118</v>
      </c>
      <c r="E65" s="7">
        <v>199.0</v>
      </c>
    </row>
    <row r="66" ht="15.75" customHeight="1">
      <c r="A66" s="4" t="s">
        <v>258</v>
      </c>
      <c r="B66" s="4" t="s">
        <v>259</v>
      </c>
      <c r="C66" s="4" t="s">
        <v>251</v>
      </c>
      <c r="D66" s="4" t="s">
        <v>118</v>
      </c>
      <c r="E66" s="7">
        <v>129.0</v>
      </c>
    </row>
    <row r="67" ht="15.75" customHeight="1">
      <c r="A67" s="4" t="s">
        <v>260</v>
      </c>
      <c r="B67" s="4" t="s">
        <v>261</v>
      </c>
      <c r="C67" s="4" t="s">
        <v>251</v>
      </c>
      <c r="D67" s="4" t="s">
        <v>118</v>
      </c>
      <c r="E67" s="7">
        <v>89.0</v>
      </c>
    </row>
    <row r="68" ht="15.75" customHeight="1">
      <c r="A68" s="4" t="s">
        <v>262</v>
      </c>
      <c r="B68" s="4" t="s">
        <v>263</v>
      </c>
      <c r="C68" s="4" t="s">
        <v>251</v>
      </c>
      <c r="D68" s="4" t="s">
        <v>118</v>
      </c>
      <c r="E68" s="7">
        <v>79.0</v>
      </c>
    </row>
    <row r="69" ht="15.75" customHeight="1">
      <c r="A69" s="4" t="s">
        <v>264</v>
      </c>
      <c r="B69" s="4" t="s">
        <v>265</v>
      </c>
      <c r="C69" s="4" t="s">
        <v>251</v>
      </c>
      <c r="D69" s="4" t="s">
        <v>98</v>
      </c>
      <c r="E69" s="7">
        <v>129.0</v>
      </c>
    </row>
    <row r="70" ht="15.75" customHeight="1">
      <c r="A70" s="4" t="s">
        <v>266</v>
      </c>
      <c r="B70" s="4" t="s">
        <v>267</v>
      </c>
      <c r="C70" s="4" t="s">
        <v>251</v>
      </c>
      <c r="D70" s="4" t="s">
        <v>49</v>
      </c>
      <c r="E70" s="7">
        <v>39.0</v>
      </c>
    </row>
    <row r="71" ht="15.75" customHeight="1">
      <c r="A71" s="4" t="s">
        <v>268</v>
      </c>
      <c r="B71" s="4" t="s">
        <v>269</v>
      </c>
      <c r="C71" s="4" t="s">
        <v>251</v>
      </c>
      <c r="D71" s="4" t="s">
        <v>130</v>
      </c>
      <c r="E71" s="7">
        <v>199.0</v>
      </c>
    </row>
    <row r="72" ht="15.75" customHeight="1">
      <c r="A72" s="4" t="s">
        <v>270</v>
      </c>
      <c r="B72" s="4" t="s">
        <v>271</v>
      </c>
      <c r="C72" s="4" t="s">
        <v>251</v>
      </c>
      <c r="D72" s="4" t="s">
        <v>98</v>
      </c>
      <c r="E72" s="7">
        <v>149.0</v>
      </c>
    </row>
    <row r="73" ht="15.75" customHeight="1">
      <c r="A73" s="4" t="s">
        <v>272</v>
      </c>
      <c r="B73" s="4" t="s">
        <v>273</v>
      </c>
      <c r="C73" s="4" t="s">
        <v>251</v>
      </c>
      <c r="D73" s="4" t="s">
        <v>49</v>
      </c>
      <c r="E73" s="7">
        <v>49.0</v>
      </c>
    </row>
    <row r="74" ht="15.75" customHeight="1">
      <c r="A74" s="4" t="s">
        <v>274</v>
      </c>
      <c r="B74" s="4" t="s">
        <v>275</v>
      </c>
      <c r="C74" s="4" t="s">
        <v>251</v>
      </c>
      <c r="D74" s="4" t="s">
        <v>118</v>
      </c>
      <c r="E74" s="7">
        <v>29.0</v>
      </c>
    </row>
    <row r="75" ht="15.75" customHeight="1">
      <c r="A75" s="4" t="s">
        <v>276</v>
      </c>
      <c r="B75" s="4" t="s">
        <v>277</v>
      </c>
      <c r="C75" s="4" t="s">
        <v>251</v>
      </c>
      <c r="D75" s="4" t="s">
        <v>98</v>
      </c>
      <c r="E75" s="7">
        <v>179.0</v>
      </c>
    </row>
    <row r="76" ht="15.75" customHeight="1">
      <c r="A76" s="4" t="s">
        <v>278</v>
      </c>
      <c r="B76" s="4" t="s">
        <v>279</v>
      </c>
      <c r="C76" s="4" t="s">
        <v>251</v>
      </c>
      <c r="D76" s="4" t="s">
        <v>118</v>
      </c>
      <c r="E76" s="7">
        <v>69.0</v>
      </c>
    </row>
    <row r="77" ht="15.75" customHeight="1">
      <c r="A77" s="4" t="s">
        <v>280</v>
      </c>
      <c r="B77" s="4" t="s">
        <v>281</v>
      </c>
      <c r="C77" s="4" t="s">
        <v>251</v>
      </c>
      <c r="D77" s="4" t="s">
        <v>49</v>
      </c>
      <c r="E77" s="7">
        <v>59.0</v>
      </c>
    </row>
    <row r="78" ht="15.75" customHeight="1">
      <c r="A78" s="4" t="s">
        <v>282</v>
      </c>
      <c r="B78" s="4" t="s">
        <v>283</v>
      </c>
      <c r="C78" s="4" t="s">
        <v>251</v>
      </c>
      <c r="D78" s="4" t="s">
        <v>118</v>
      </c>
      <c r="E78" s="7">
        <v>99.0</v>
      </c>
    </row>
    <row r="79" ht="15.75" customHeight="1">
      <c r="A79" s="4" t="s">
        <v>284</v>
      </c>
      <c r="B79" s="4" t="s">
        <v>285</v>
      </c>
      <c r="C79" s="4" t="s">
        <v>251</v>
      </c>
      <c r="D79" s="4" t="s">
        <v>49</v>
      </c>
      <c r="E79" s="7">
        <v>45.0</v>
      </c>
    </row>
    <row r="80" ht="15.75" customHeight="1">
      <c r="A80" s="4" t="s">
        <v>286</v>
      </c>
      <c r="B80" s="4" t="s">
        <v>287</v>
      </c>
      <c r="C80" s="4" t="s">
        <v>251</v>
      </c>
      <c r="D80" s="4" t="s">
        <v>130</v>
      </c>
      <c r="E80" s="7">
        <v>399.0</v>
      </c>
    </row>
    <row r="81" ht="15.75" customHeight="1">
      <c r="A81" s="4" t="s">
        <v>288</v>
      </c>
      <c r="B81" s="4" t="s">
        <v>289</v>
      </c>
      <c r="C81" s="4" t="s">
        <v>251</v>
      </c>
      <c r="D81" s="4" t="s">
        <v>118</v>
      </c>
      <c r="E81" s="7">
        <v>119.0</v>
      </c>
    </row>
    <row r="82" ht="15.75" customHeight="1">
      <c r="A82" s="4" t="s">
        <v>290</v>
      </c>
      <c r="B82" s="4" t="s">
        <v>291</v>
      </c>
      <c r="C82" s="4" t="s">
        <v>251</v>
      </c>
      <c r="D82" s="4" t="s">
        <v>130</v>
      </c>
      <c r="E82" s="7">
        <v>109.0</v>
      </c>
    </row>
    <row r="83" ht="15.75" customHeight="1">
      <c r="A83" s="4" t="s">
        <v>292</v>
      </c>
      <c r="B83" s="4" t="s">
        <v>293</v>
      </c>
      <c r="C83" s="4" t="s">
        <v>251</v>
      </c>
      <c r="D83" s="4" t="s">
        <v>130</v>
      </c>
      <c r="E83" s="7">
        <v>99.0</v>
      </c>
    </row>
    <row r="84" ht="15.75" customHeight="1">
      <c r="A84" s="4" t="s">
        <v>294</v>
      </c>
      <c r="B84" s="4" t="s">
        <v>295</v>
      </c>
      <c r="C84" s="4" t="s">
        <v>251</v>
      </c>
      <c r="D84" s="4" t="s">
        <v>130</v>
      </c>
      <c r="E84" s="7">
        <v>89.0</v>
      </c>
    </row>
    <row r="85" ht="15.75" customHeight="1">
      <c r="A85" s="4" t="s">
        <v>296</v>
      </c>
      <c r="B85" s="4" t="s">
        <v>297</v>
      </c>
      <c r="C85" s="4" t="s">
        <v>251</v>
      </c>
      <c r="D85" s="4" t="s">
        <v>98</v>
      </c>
      <c r="E85" s="7">
        <v>399.0</v>
      </c>
    </row>
    <row r="86" ht="15.75" customHeight="1">
      <c r="A86" s="4" t="s">
        <v>298</v>
      </c>
      <c r="B86" s="4" t="s">
        <v>299</v>
      </c>
      <c r="C86" s="4" t="s">
        <v>251</v>
      </c>
      <c r="D86" s="4" t="s">
        <v>98</v>
      </c>
      <c r="E86" s="7">
        <v>69.0</v>
      </c>
    </row>
    <row r="87" ht="15.75" customHeight="1">
      <c r="A87" s="4" t="s">
        <v>300</v>
      </c>
      <c r="B87" s="4" t="s">
        <v>301</v>
      </c>
      <c r="C87" s="4" t="s">
        <v>302</v>
      </c>
      <c r="D87" s="4" t="s">
        <v>39</v>
      </c>
      <c r="E87" s="7">
        <v>449.0</v>
      </c>
    </row>
    <row r="88" ht="15.75" customHeight="1">
      <c r="A88" s="4" t="s">
        <v>303</v>
      </c>
      <c r="B88" s="4" t="s">
        <v>304</v>
      </c>
      <c r="C88" s="4" t="s">
        <v>302</v>
      </c>
      <c r="D88" s="4" t="s">
        <v>48</v>
      </c>
      <c r="E88" s="7">
        <v>249.0</v>
      </c>
    </row>
    <row r="89" ht="15.75" customHeight="1">
      <c r="A89" s="4" t="s">
        <v>305</v>
      </c>
      <c r="B89" s="4" t="s">
        <v>306</v>
      </c>
      <c r="C89" s="4" t="s">
        <v>302</v>
      </c>
      <c r="D89" s="4" t="s">
        <v>98</v>
      </c>
      <c r="E89" s="7">
        <v>799.0</v>
      </c>
    </row>
    <row r="90" ht="15.75" customHeight="1">
      <c r="A90" s="4" t="s">
        <v>307</v>
      </c>
      <c r="B90" s="4" t="s">
        <v>308</v>
      </c>
      <c r="C90" s="4" t="s">
        <v>302</v>
      </c>
      <c r="D90" s="4" t="s">
        <v>39</v>
      </c>
      <c r="E90" s="7">
        <v>899.0</v>
      </c>
    </row>
    <row r="91" ht="15.75" customHeight="1">
      <c r="A91" s="4" t="s">
        <v>309</v>
      </c>
      <c r="B91" s="4" t="s">
        <v>310</v>
      </c>
      <c r="C91" s="4" t="s">
        <v>302</v>
      </c>
      <c r="D91" s="4" t="s">
        <v>130</v>
      </c>
      <c r="E91" s="7">
        <v>299.0</v>
      </c>
    </row>
    <row r="92" ht="15.75" customHeight="1">
      <c r="A92" s="4" t="s">
        <v>311</v>
      </c>
      <c r="B92" s="4" t="s">
        <v>312</v>
      </c>
      <c r="C92" s="4" t="s">
        <v>302</v>
      </c>
      <c r="D92" s="4" t="s">
        <v>39</v>
      </c>
      <c r="E92" s="7">
        <v>549.0</v>
      </c>
    </row>
    <row r="93" ht="15.75" customHeight="1">
      <c r="A93" s="4" t="s">
        <v>313</v>
      </c>
      <c r="B93" s="4" t="s">
        <v>314</v>
      </c>
      <c r="C93" s="4" t="s">
        <v>302</v>
      </c>
      <c r="D93" s="4" t="s">
        <v>130</v>
      </c>
      <c r="E93" s="7">
        <v>349.0</v>
      </c>
    </row>
    <row r="94" ht="15.75" customHeight="1">
      <c r="A94" s="4" t="s">
        <v>315</v>
      </c>
      <c r="B94" s="4" t="s">
        <v>316</v>
      </c>
      <c r="C94" s="4" t="s">
        <v>302</v>
      </c>
      <c r="D94" s="4" t="s">
        <v>98</v>
      </c>
      <c r="E94" s="7">
        <v>699.0</v>
      </c>
    </row>
    <row r="95" ht="15.75" customHeight="1">
      <c r="A95" s="4" t="s">
        <v>317</v>
      </c>
      <c r="B95" s="4" t="s">
        <v>318</v>
      </c>
      <c r="C95" s="4" t="s">
        <v>302</v>
      </c>
      <c r="D95" s="4" t="s">
        <v>130</v>
      </c>
      <c r="E95" s="7">
        <v>199.0</v>
      </c>
    </row>
    <row r="96" ht="15.75" customHeight="1">
      <c r="A96" s="4" t="s">
        <v>319</v>
      </c>
      <c r="B96" s="4" t="s">
        <v>320</v>
      </c>
      <c r="C96" s="4" t="s">
        <v>302</v>
      </c>
      <c r="D96" s="4" t="s">
        <v>39</v>
      </c>
      <c r="E96" s="7">
        <v>249.0</v>
      </c>
    </row>
    <row r="97" ht="15.75" customHeight="1">
      <c r="A97" s="4" t="s">
        <v>321</v>
      </c>
      <c r="B97" s="4" t="s">
        <v>322</v>
      </c>
      <c r="C97" s="4" t="s">
        <v>302</v>
      </c>
      <c r="D97" s="4" t="s">
        <v>98</v>
      </c>
      <c r="E97" s="7">
        <v>649.0</v>
      </c>
    </row>
    <row r="98" ht="15.75" customHeight="1">
      <c r="A98" s="4" t="s">
        <v>323</v>
      </c>
      <c r="B98" s="4" t="s">
        <v>324</v>
      </c>
      <c r="C98" s="4" t="s">
        <v>302</v>
      </c>
      <c r="D98" s="4" t="s">
        <v>39</v>
      </c>
      <c r="E98" s="7">
        <v>129.0</v>
      </c>
    </row>
    <row r="99" ht="15.75" customHeight="1">
      <c r="A99" s="4" t="s">
        <v>325</v>
      </c>
      <c r="B99" s="4" t="s">
        <v>326</v>
      </c>
      <c r="C99" s="4" t="s">
        <v>302</v>
      </c>
      <c r="D99" s="4" t="s">
        <v>98</v>
      </c>
      <c r="E99" s="7">
        <v>349.0</v>
      </c>
    </row>
    <row r="100" ht="15.75" customHeight="1">
      <c r="A100" s="4" t="s">
        <v>327</v>
      </c>
      <c r="B100" s="4" t="s">
        <v>328</v>
      </c>
      <c r="C100" s="4" t="s">
        <v>302</v>
      </c>
      <c r="D100" s="4" t="s">
        <v>130</v>
      </c>
      <c r="E100" s="7">
        <v>1699.0</v>
      </c>
    </row>
    <row r="101" ht="15.75" customHeight="1">
      <c r="A101" s="4" t="s">
        <v>329</v>
      </c>
      <c r="B101" s="4" t="s">
        <v>330</v>
      </c>
      <c r="C101" s="4" t="s">
        <v>302</v>
      </c>
      <c r="D101" s="4" t="s">
        <v>48</v>
      </c>
      <c r="E101" s="7">
        <v>599.0</v>
      </c>
    </row>
    <row r="102" ht="15.75" customHeight="1">
      <c r="A102" s="4" t="s">
        <v>331</v>
      </c>
      <c r="B102" s="4" t="s">
        <v>332</v>
      </c>
      <c r="C102" s="4" t="s">
        <v>302</v>
      </c>
      <c r="D102" s="4" t="s">
        <v>48</v>
      </c>
      <c r="E102" s="7">
        <v>499.0</v>
      </c>
    </row>
    <row r="103" ht="15.75" customHeight="1">
      <c r="A103" s="4" t="s">
        <v>333</v>
      </c>
      <c r="B103" s="4" t="s">
        <v>334</v>
      </c>
      <c r="C103" s="4" t="s">
        <v>302</v>
      </c>
      <c r="D103" s="4" t="s">
        <v>98</v>
      </c>
      <c r="E103" s="7">
        <v>249.0</v>
      </c>
    </row>
    <row r="104" ht="15.75" customHeight="1">
      <c r="A104" s="4" t="s">
        <v>335</v>
      </c>
      <c r="B104" s="4" t="s">
        <v>336</v>
      </c>
      <c r="C104" s="4" t="s">
        <v>302</v>
      </c>
      <c r="D104" s="4" t="s">
        <v>48</v>
      </c>
      <c r="E104" s="7">
        <v>299.0</v>
      </c>
    </row>
    <row r="105" ht="15.75" customHeight="1">
      <c r="A105" s="4" t="s">
        <v>337</v>
      </c>
      <c r="B105" s="4" t="s">
        <v>338</v>
      </c>
      <c r="C105" s="4" t="s">
        <v>302</v>
      </c>
      <c r="D105" s="4" t="s">
        <v>39</v>
      </c>
      <c r="E105" s="7">
        <v>399.0</v>
      </c>
    </row>
    <row r="106" ht="15.75" customHeight="1">
      <c r="A106" s="4" t="s">
        <v>339</v>
      </c>
      <c r="B106" s="4" t="s">
        <v>340</v>
      </c>
      <c r="C106" s="4" t="s">
        <v>302</v>
      </c>
      <c r="D106" s="4" t="s">
        <v>98</v>
      </c>
      <c r="E106" s="7">
        <v>349.0</v>
      </c>
    </row>
    <row r="107" ht="15.75" customHeight="1">
      <c r="A107" s="4" t="s">
        <v>341</v>
      </c>
      <c r="B107" s="4" t="s">
        <v>342</v>
      </c>
      <c r="C107" s="4" t="s">
        <v>302</v>
      </c>
      <c r="D107" s="4" t="s">
        <v>130</v>
      </c>
      <c r="E107" s="7">
        <v>599.0</v>
      </c>
    </row>
    <row r="108" ht="15.75" customHeight="1">
      <c r="A108" s="4" t="s">
        <v>343</v>
      </c>
      <c r="B108" s="4" t="s">
        <v>344</v>
      </c>
      <c r="C108" s="4" t="s">
        <v>302</v>
      </c>
      <c r="D108" s="4" t="s">
        <v>98</v>
      </c>
      <c r="E108" s="7">
        <v>299.0</v>
      </c>
    </row>
    <row r="109" ht="15.75" customHeight="1">
      <c r="A109" s="4" t="s">
        <v>345</v>
      </c>
      <c r="B109" s="4" t="s">
        <v>346</v>
      </c>
      <c r="C109" s="4" t="s">
        <v>302</v>
      </c>
      <c r="D109" s="4" t="s">
        <v>39</v>
      </c>
      <c r="E109" s="7">
        <v>799.0</v>
      </c>
    </row>
    <row r="110" ht="15.75" customHeight="1">
      <c r="A110" s="4" t="s">
        <v>347</v>
      </c>
      <c r="B110" s="4" t="s">
        <v>348</v>
      </c>
      <c r="C110" s="4" t="s">
        <v>302</v>
      </c>
      <c r="D110" s="4" t="s">
        <v>98</v>
      </c>
      <c r="E110" s="7">
        <v>699.0</v>
      </c>
    </row>
    <row r="111" ht="15.75" customHeight="1">
      <c r="A111" s="4" t="s">
        <v>349</v>
      </c>
      <c r="B111" s="4" t="s">
        <v>350</v>
      </c>
      <c r="C111" s="4" t="s">
        <v>302</v>
      </c>
      <c r="D111" s="4" t="s">
        <v>130</v>
      </c>
      <c r="E111" s="7">
        <v>149.0</v>
      </c>
    </row>
    <row r="112" ht="15.75" customHeight="1">
      <c r="A112" s="4" t="s">
        <v>351</v>
      </c>
      <c r="B112" s="4" t="s">
        <v>352</v>
      </c>
      <c r="C112" s="4" t="s">
        <v>353</v>
      </c>
      <c r="D112" s="4" t="s">
        <v>70</v>
      </c>
      <c r="E112" s="7">
        <v>349.0</v>
      </c>
    </row>
    <row r="113" ht="15.75" customHeight="1">
      <c r="A113" s="4" t="s">
        <v>354</v>
      </c>
      <c r="B113" s="4" t="s">
        <v>355</v>
      </c>
      <c r="C113" s="4" t="s">
        <v>353</v>
      </c>
      <c r="D113" s="4" t="s">
        <v>138</v>
      </c>
      <c r="E113" s="7">
        <v>379.0</v>
      </c>
    </row>
    <row r="114" ht="15.75" customHeight="1">
      <c r="A114" s="4" t="s">
        <v>356</v>
      </c>
      <c r="B114" s="4" t="s">
        <v>357</v>
      </c>
      <c r="C114" s="4" t="s">
        <v>353</v>
      </c>
      <c r="D114" s="4" t="s">
        <v>70</v>
      </c>
      <c r="E114" s="7">
        <v>129.0</v>
      </c>
    </row>
    <row r="115" ht="15.75" customHeight="1">
      <c r="A115" s="4" t="s">
        <v>358</v>
      </c>
      <c r="B115" s="4" t="s">
        <v>359</v>
      </c>
      <c r="C115" s="4" t="s">
        <v>353</v>
      </c>
      <c r="D115" s="4" t="s">
        <v>118</v>
      </c>
      <c r="E115" s="7">
        <v>249.0</v>
      </c>
    </row>
    <row r="116" ht="15.75" customHeight="1">
      <c r="A116" s="4" t="s">
        <v>360</v>
      </c>
      <c r="B116" s="4" t="s">
        <v>361</v>
      </c>
      <c r="C116" s="4" t="s">
        <v>353</v>
      </c>
      <c r="D116" s="4" t="s">
        <v>70</v>
      </c>
      <c r="E116" s="7">
        <v>99.0</v>
      </c>
    </row>
    <row r="117" ht="15.75" customHeight="1">
      <c r="A117" s="4" t="s">
        <v>362</v>
      </c>
      <c r="B117" s="4" t="s">
        <v>363</v>
      </c>
      <c r="C117" s="4" t="s">
        <v>353</v>
      </c>
      <c r="D117" s="4" t="s">
        <v>138</v>
      </c>
      <c r="E117" s="7">
        <v>149.0</v>
      </c>
    </row>
    <row r="118" ht="15.75" customHeight="1">
      <c r="A118" s="4" t="s">
        <v>364</v>
      </c>
      <c r="B118" s="4" t="s">
        <v>365</v>
      </c>
      <c r="C118" s="4" t="s">
        <v>353</v>
      </c>
      <c r="D118" s="4" t="s">
        <v>80</v>
      </c>
      <c r="E118" s="7">
        <v>229.0</v>
      </c>
    </row>
    <row r="119" ht="15.75" customHeight="1">
      <c r="A119" s="4" t="s">
        <v>366</v>
      </c>
      <c r="B119" s="4" t="s">
        <v>367</v>
      </c>
      <c r="C119" s="4" t="s">
        <v>353</v>
      </c>
      <c r="D119" s="4" t="s">
        <v>118</v>
      </c>
      <c r="E119" s="7">
        <v>399.0</v>
      </c>
    </row>
    <row r="120" ht="15.75" customHeight="1">
      <c r="A120" s="4" t="s">
        <v>368</v>
      </c>
      <c r="B120" s="4" t="s">
        <v>369</v>
      </c>
      <c r="C120" s="4" t="s">
        <v>353</v>
      </c>
      <c r="D120" s="4" t="s">
        <v>80</v>
      </c>
      <c r="E120" s="7">
        <v>349.0</v>
      </c>
    </row>
    <row r="121" ht="15.75" customHeight="1">
      <c r="A121" s="4" t="s">
        <v>370</v>
      </c>
      <c r="B121" s="4" t="s">
        <v>371</v>
      </c>
      <c r="C121" s="4" t="s">
        <v>353</v>
      </c>
      <c r="D121" s="4" t="s">
        <v>118</v>
      </c>
      <c r="E121" s="7">
        <v>169.0</v>
      </c>
    </row>
    <row r="122" ht="15.75" customHeight="1">
      <c r="A122" s="4" t="s">
        <v>372</v>
      </c>
      <c r="B122" s="4" t="s">
        <v>373</v>
      </c>
      <c r="C122" s="4" t="s">
        <v>353</v>
      </c>
      <c r="D122" s="4" t="s">
        <v>118</v>
      </c>
      <c r="E122" s="7">
        <v>199.0</v>
      </c>
    </row>
    <row r="123" ht="15.75" customHeight="1">
      <c r="A123" s="4" t="s">
        <v>374</v>
      </c>
      <c r="B123" s="4" t="s">
        <v>375</v>
      </c>
      <c r="C123" s="4" t="s">
        <v>353</v>
      </c>
      <c r="D123" s="4" t="s">
        <v>118</v>
      </c>
      <c r="E123" s="7">
        <v>199.0</v>
      </c>
    </row>
    <row r="124" ht="15.75" customHeight="1">
      <c r="A124" s="4" t="s">
        <v>376</v>
      </c>
      <c r="B124" s="4" t="s">
        <v>377</v>
      </c>
      <c r="C124" s="4" t="s">
        <v>353</v>
      </c>
      <c r="D124" s="4" t="s">
        <v>138</v>
      </c>
      <c r="E124" s="7">
        <v>129.0</v>
      </c>
    </row>
    <row r="125" ht="15.75" customHeight="1">
      <c r="A125" s="4" t="s">
        <v>378</v>
      </c>
      <c r="B125" s="4" t="s">
        <v>379</v>
      </c>
      <c r="C125" s="4" t="s">
        <v>353</v>
      </c>
      <c r="D125" s="4" t="s">
        <v>118</v>
      </c>
      <c r="E125" s="7">
        <v>149.0</v>
      </c>
    </row>
    <row r="126" ht="15.75" customHeight="1">
      <c r="A126" s="4" t="s">
        <v>380</v>
      </c>
      <c r="B126" s="4" t="s">
        <v>381</v>
      </c>
      <c r="C126" s="4" t="s">
        <v>353</v>
      </c>
      <c r="D126" s="4" t="s">
        <v>138</v>
      </c>
      <c r="E126" s="7">
        <v>249.0</v>
      </c>
    </row>
    <row r="127" ht="15.75" customHeight="1">
      <c r="A127" s="4" t="s">
        <v>382</v>
      </c>
      <c r="B127" s="4" t="s">
        <v>383</v>
      </c>
      <c r="C127" s="4" t="s">
        <v>353</v>
      </c>
      <c r="D127" s="4" t="s">
        <v>118</v>
      </c>
      <c r="E127" s="7">
        <v>79.0</v>
      </c>
    </row>
    <row r="128" ht="15.75" customHeight="1">
      <c r="A128" s="4" t="s">
        <v>384</v>
      </c>
      <c r="B128" s="4" t="s">
        <v>385</v>
      </c>
      <c r="C128" s="4" t="s">
        <v>353</v>
      </c>
      <c r="D128" s="4" t="s">
        <v>80</v>
      </c>
      <c r="E128" s="7">
        <v>99.0</v>
      </c>
    </row>
    <row r="129" ht="15.75" customHeight="1">
      <c r="A129" s="4" t="s">
        <v>386</v>
      </c>
      <c r="B129" s="4" t="s">
        <v>387</v>
      </c>
      <c r="C129" s="4" t="s">
        <v>353</v>
      </c>
      <c r="D129" s="4" t="s">
        <v>118</v>
      </c>
      <c r="E129" s="7">
        <v>149.0</v>
      </c>
    </row>
    <row r="130" ht="15.75" customHeight="1">
      <c r="A130" s="4" t="s">
        <v>388</v>
      </c>
      <c r="B130" s="4" t="s">
        <v>389</v>
      </c>
      <c r="C130" s="4" t="s">
        <v>353</v>
      </c>
      <c r="D130" s="4" t="s">
        <v>80</v>
      </c>
      <c r="E130" s="7">
        <v>149.0</v>
      </c>
    </row>
    <row r="131" ht="15.75" customHeight="1">
      <c r="A131" s="4" t="s">
        <v>390</v>
      </c>
      <c r="B131" s="4" t="s">
        <v>391</v>
      </c>
      <c r="C131" s="4" t="s">
        <v>353</v>
      </c>
      <c r="D131" s="4" t="s">
        <v>80</v>
      </c>
      <c r="E131" s="7">
        <v>89.0</v>
      </c>
    </row>
    <row r="132" ht="15.75" customHeight="1">
      <c r="A132" s="4" t="s">
        <v>392</v>
      </c>
      <c r="B132" s="4" t="s">
        <v>393</v>
      </c>
      <c r="C132" s="4" t="s">
        <v>394</v>
      </c>
      <c r="D132" s="4" t="s">
        <v>16</v>
      </c>
      <c r="E132" s="7">
        <v>599.0</v>
      </c>
    </row>
    <row r="133" ht="15.75" customHeight="1">
      <c r="A133" s="4" t="s">
        <v>395</v>
      </c>
      <c r="B133" s="4" t="s">
        <v>396</v>
      </c>
      <c r="C133" s="4" t="s">
        <v>394</v>
      </c>
      <c r="D133" s="4" t="s">
        <v>64</v>
      </c>
      <c r="E133" s="7">
        <v>399.0</v>
      </c>
    </row>
    <row r="134" ht="15.75" customHeight="1">
      <c r="A134" s="4" t="s">
        <v>397</v>
      </c>
      <c r="B134" s="4" t="s">
        <v>398</v>
      </c>
      <c r="C134" s="4" t="s">
        <v>394</v>
      </c>
      <c r="D134" s="4" t="s">
        <v>49</v>
      </c>
      <c r="E134" s="7">
        <v>249.0</v>
      </c>
    </row>
    <row r="135" ht="15.75" customHeight="1">
      <c r="A135" s="4" t="s">
        <v>399</v>
      </c>
      <c r="B135" s="4" t="s">
        <v>400</v>
      </c>
      <c r="C135" s="4" t="s">
        <v>394</v>
      </c>
      <c r="D135" s="4" t="s">
        <v>49</v>
      </c>
      <c r="E135" s="7">
        <v>349.0</v>
      </c>
    </row>
    <row r="136" ht="15.75" customHeight="1">
      <c r="A136" s="4" t="s">
        <v>401</v>
      </c>
      <c r="B136" s="4" t="s">
        <v>402</v>
      </c>
      <c r="C136" s="4" t="s">
        <v>394</v>
      </c>
      <c r="D136" s="4" t="s">
        <v>16</v>
      </c>
      <c r="E136" s="7">
        <v>499.0</v>
      </c>
    </row>
    <row r="137" ht="15.75" customHeight="1">
      <c r="A137" s="4" t="s">
        <v>403</v>
      </c>
      <c r="B137" s="4" t="s">
        <v>404</v>
      </c>
      <c r="C137" s="4" t="s">
        <v>394</v>
      </c>
      <c r="D137" s="4" t="s">
        <v>16</v>
      </c>
      <c r="E137" s="7">
        <v>399.0</v>
      </c>
    </row>
    <row r="138" ht="15.75" customHeight="1">
      <c r="A138" s="4" t="s">
        <v>405</v>
      </c>
      <c r="B138" s="4" t="s">
        <v>406</v>
      </c>
      <c r="C138" s="4" t="s">
        <v>394</v>
      </c>
      <c r="D138" s="4" t="s">
        <v>16</v>
      </c>
      <c r="E138" s="7">
        <v>449.0</v>
      </c>
    </row>
    <row r="139" ht="15.75" customHeight="1">
      <c r="A139" s="4" t="s">
        <v>407</v>
      </c>
      <c r="B139" s="4" t="s">
        <v>408</v>
      </c>
      <c r="C139" s="4" t="s">
        <v>394</v>
      </c>
      <c r="D139" s="4" t="s">
        <v>49</v>
      </c>
      <c r="E139" s="7">
        <v>699.0</v>
      </c>
    </row>
    <row r="140" ht="15.75" customHeight="1">
      <c r="A140" s="4" t="s">
        <v>409</v>
      </c>
      <c r="B140" s="4" t="s">
        <v>410</v>
      </c>
      <c r="C140" s="4" t="s">
        <v>394</v>
      </c>
      <c r="D140" s="4" t="s">
        <v>25</v>
      </c>
      <c r="E140" s="7">
        <v>899.0</v>
      </c>
    </row>
    <row r="141" ht="15.75" customHeight="1">
      <c r="A141" s="4" t="s">
        <v>411</v>
      </c>
      <c r="B141" s="4" t="s">
        <v>412</v>
      </c>
      <c r="C141" s="4" t="s">
        <v>394</v>
      </c>
      <c r="D141" s="4" t="s">
        <v>49</v>
      </c>
      <c r="E141" s="7">
        <v>399.0</v>
      </c>
    </row>
    <row r="142" ht="15.75" customHeight="1">
      <c r="A142" s="4" t="s">
        <v>413</v>
      </c>
      <c r="B142" s="4" t="s">
        <v>414</v>
      </c>
      <c r="C142" s="4" t="s">
        <v>394</v>
      </c>
      <c r="D142" s="4" t="s">
        <v>25</v>
      </c>
      <c r="E142" s="7">
        <v>349.0</v>
      </c>
    </row>
    <row r="143" ht="15.75" customHeight="1">
      <c r="A143" s="4" t="s">
        <v>416</v>
      </c>
      <c r="B143" s="4" t="s">
        <v>417</v>
      </c>
      <c r="C143" s="4" t="s">
        <v>394</v>
      </c>
      <c r="D143" s="4" t="s">
        <v>49</v>
      </c>
      <c r="E143" s="7">
        <v>799.0</v>
      </c>
    </row>
    <row r="144" ht="15.75" customHeight="1">
      <c r="A144" s="4" t="s">
        <v>418</v>
      </c>
      <c r="B144" s="4" t="s">
        <v>419</v>
      </c>
      <c r="C144" s="4" t="s">
        <v>394</v>
      </c>
      <c r="D144" s="4" t="s">
        <v>64</v>
      </c>
      <c r="E144" s="7">
        <v>299.0</v>
      </c>
    </row>
    <row r="145" ht="15.75" customHeight="1">
      <c r="A145" s="4" t="s">
        <v>420</v>
      </c>
      <c r="B145" s="4" t="s">
        <v>421</v>
      </c>
      <c r="C145" s="4" t="s">
        <v>394</v>
      </c>
      <c r="D145" s="4" t="s">
        <v>25</v>
      </c>
      <c r="E145" s="7">
        <v>699.0</v>
      </c>
    </row>
    <row r="146" ht="15.75" customHeight="1">
      <c r="A146" s="4" t="s">
        <v>422</v>
      </c>
      <c r="B146" s="4" t="s">
        <v>423</v>
      </c>
      <c r="C146" s="4" t="s">
        <v>394</v>
      </c>
      <c r="D146" s="4" t="s">
        <v>25</v>
      </c>
      <c r="E146" s="7">
        <v>499.0</v>
      </c>
    </row>
    <row r="147" ht="15.75" customHeight="1">
      <c r="A147" s="4" t="s">
        <v>424</v>
      </c>
      <c r="B147" s="4" t="s">
        <v>425</v>
      </c>
      <c r="C147" s="4" t="s">
        <v>394</v>
      </c>
      <c r="D147" s="4" t="s">
        <v>25</v>
      </c>
      <c r="E147" s="7">
        <v>1499.0</v>
      </c>
    </row>
    <row r="148" ht="15.75" customHeight="1">
      <c r="A148" s="4" t="s">
        <v>426</v>
      </c>
      <c r="B148" s="4" t="s">
        <v>427</v>
      </c>
      <c r="C148" s="4" t="s">
        <v>394</v>
      </c>
      <c r="D148" s="4" t="s">
        <v>25</v>
      </c>
      <c r="E148" s="7">
        <v>299.0</v>
      </c>
    </row>
    <row r="149" ht="15.75" customHeight="1">
      <c r="A149" s="4" t="s">
        <v>428</v>
      </c>
      <c r="B149" s="4" t="s">
        <v>429</v>
      </c>
      <c r="C149" s="4" t="s">
        <v>394</v>
      </c>
      <c r="D149" s="4" t="s">
        <v>49</v>
      </c>
      <c r="E149" s="7">
        <v>199.0</v>
      </c>
    </row>
    <row r="150" ht="15.75" customHeight="1">
      <c r="A150" s="4" t="s">
        <v>430</v>
      </c>
      <c r="B150" s="4" t="s">
        <v>431</v>
      </c>
      <c r="C150" s="4" t="s">
        <v>394</v>
      </c>
      <c r="D150" s="4" t="s">
        <v>64</v>
      </c>
      <c r="E150" s="7">
        <v>499.0</v>
      </c>
    </row>
    <row r="151" ht="15.75" customHeight="1">
      <c r="A151" s="4" t="s">
        <v>432</v>
      </c>
      <c r="B151" s="4" t="s">
        <v>433</v>
      </c>
      <c r="C151" s="4" t="s">
        <v>394</v>
      </c>
      <c r="D151" s="4" t="s">
        <v>49</v>
      </c>
      <c r="E151" s="7">
        <v>549.0</v>
      </c>
    </row>
    <row r="152" ht="15.75" customHeight="1">
      <c r="A152" s="4" t="s">
        <v>434</v>
      </c>
      <c r="B152" s="4" t="s">
        <v>435</v>
      </c>
      <c r="C152" s="4" t="s">
        <v>15</v>
      </c>
      <c r="D152" s="4" t="s">
        <v>25</v>
      </c>
      <c r="E152" s="7">
        <v>899.0</v>
      </c>
    </row>
    <row r="153" ht="15.75" customHeight="1">
      <c r="A153" s="4" t="s">
        <v>436</v>
      </c>
      <c r="B153" s="4" t="s">
        <v>437</v>
      </c>
      <c r="C153" s="4" t="s">
        <v>15</v>
      </c>
      <c r="D153" s="4" t="s">
        <v>48</v>
      </c>
      <c r="E153" s="7">
        <v>549.0</v>
      </c>
    </row>
    <row r="154" ht="15.75" customHeight="1">
      <c r="A154" s="4" t="s">
        <v>438</v>
      </c>
      <c r="B154" s="4" t="s">
        <v>439</v>
      </c>
      <c r="C154" s="4" t="s">
        <v>15</v>
      </c>
      <c r="D154" s="4" t="s">
        <v>48</v>
      </c>
      <c r="E154" s="7">
        <v>1299.0</v>
      </c>
    </row>
    <row r="155" ht="15.75" customHeight="1">
      <c r="A155" s="4" t="s">
        <v>440</v>
      </c>
      <c r="B155" s="4" t="s">
        <v>441</v>
      </c>
      <c r="C155" s="4" t="s">
        <v>15</v>
      </c>
      <c r="D155" s="4" t="s">
        <v>25</v>
      </c>
      <c r="E155" s="7">
        <v>349.0</v>
      </c>
    </row>
    <row r="156" ht="15.75" customHeight="1">
      <c r="A156" s="4" t="s">
        <v>442</v>
      </c>
      <c r="B156" s="4" t="s">
        <v>443</v>
      </c>
      <c r="C156" s="4" t="s">
        <v>15</v>
      </c>
      <c r="D156" s="4" t="s">
        <v>64</v>
      </c>
      <c r="E156" s="7">
        <v>899.0</v>
      </c>
    </row>
    <row r="157" ht="15.75" customHeight="1">
      <c r="A157" s="4" t="s">
        <v>444</v>
      </c>
      <c r="B157" s="4" t="s">
        <v>445</v>
      </c>
      <c r="C157" s="4" t="s">
        <v>190</v>
      </c>
      <c r="D157" s="4" t="s">
        <v>70</v>
      </c>
      <c r="E157" s="7">
        <v>449.0</v>
      </c>
    </row>
    <row r="158" ht="15.75" customHeight="1">
      <c r="A158" s="4" t="s">
        <v>446</v>
      </c>
      <c r="B158" s="4" t="s">
        <v>447</v>
      </c>
      <c r="C158" s="4" t="s">
        <v>190</v>
      </c>
      <c r="D158" s="4" t="s">
        <v>138</v>
      </c>
      <c r="E158" s="7">
        <v>189.0</v>
      </c>
    </row>
    <row r="159" ht="15.75" customHeight="1">
      <c r="A159" s="4" t="s">
        <v>448</v>
      </c>
      <c r="B159" s="4" t="s">
        <v>449</v>
      </c>
      <c r="C159" s="4" t="s">
        <v>190</v>
      </c>
      <c r="D159" s="4" t="s">
        <v>70</v>
      </c>
      <c r="E159" s="7">
        <v>99.0</v>
      </c>
    </row>
    <row r="160" ht="15.75" customHeight="1">
      <c r="A160" s="4" t="s">
        <v>450</v>
      </c>
      <c r="B160" s="4" t="s">
        <v>451</v>
      </c>
      <c r="C160" s="4" t="s">
        <v>190</v>
      </c>
      <c r="D160" s="4" t="s">
        <v>118</v>
      </c>
      <c r="E160" s="7">
        <v>249.0</v>
      </c>
    </row>
    <row r="161" ht="15.75" customHeight="1">
      <c r="A161" s="4" t="s">
        <v>452</v>
      </c>
      <c r="B161" s="4" t="s">
        <v>453</v>
      </c>
      <c r="C161" s="4" t="s">
        <v>190</v>
      </c>
      <c r="D161" s="4" t="s">
        <v>138</v>
      </c>
      <c r="E161" s="7">
        <v>359.0</v>
      </c>
    </row>
    <row r="162" ht="15.75" customHeight="1">
      <c r="A162" s="4" t="s">
        <v>454</v>
      </c>
      <c r="B162" s="4" t="s">
        <v>455</v>
      </c>
      <c r="C162" s="4" t="s">
        <v>251</v>
      </c>
      <c r="D162" s="4" t="s">
        <v>98</v>
      </c>
      <c r="E162" s="7">
        <v>149.0</v>
      </c>
    </row>
    <row r="163" ht="15.75" customHeight="1">
      <c r="A163" s="4" t="s">
        <v>456</v>
      </c>
      <c r="B163" s="4" t="s">
        <v>457</v>
      </c>
      <c r="C163" s="4" t="s">
        <v>251</v>
      </c>
      <c r="D163" s="4" t="s">
        <v>118</v>
      </c>
      <c r="E163" s="7">
        <v>249.0</v>
      </c>
    </row>
    <row r="164" ht="15.75" customHeight="1">
      <c r="A164" s="4" t="s">
        <v>458</v>
      </c>
      <c r="B164" s="4" t="s">
        <v>459</v>
      </c>
      <c r="C164" s="4" t="s">
        <v>251</v>
      </c>
      <c r="D164" s="4" t="s">
        <v>49</v>
      </c>
      <c r="E164" s="7">
        <v>99.0</v>
      </c>
    </row>
    <row r="165" ht="15.75" customHeight="1">
      <c r="A165" s="4" t="s">
        <v>460</v>
      </c>
      <c r="B165" s="4" t="s">
        <v>461</v>
      </c>
      <c r="C165" s="4" t="s">
        <v>302</v>
      </c>
      <c r="D165" s="4" t="s">
        <v>48</v>
      </c>
      <c r="E165" s="7">
        <v>849.0</v>
      </c>
    </row>
    <row r="166" ht="15.75" customHeight="1">
      <c r="A166" s="4" t="s">
        <v>462</v>
      </c>
      <c r="B166" s="4" t="s">
        <v>463</v>
      </c>
      <c r="C166" s="4" t="s">
        <v>302</v>
      </c>
      <c r="D166" s="4" t="s">
        <v>130</v>
      </c>
      <c r="E166" s="7">
        <v>749.0</v>
      </c>
    </row>
    <row r="167" ht="15.75" customHeight="1">
      <c r="A167" s="4" t="s">
        <v>464</v>
      </c>
      <c r="B167" s="4" t="s">
        <v>465</v>
      </c>
      <c r="C167" s="4" t="s">
        <v>302</v>
      </c>
      <c r="D167" s="4" t="s">
        <v>98</v>
      </c>
      <c r="E167" s="7">
        <v>549.0</v>
      </c>
    </row>
    <row r="168" ht="15.75" customHeight="1">
      <c r="A168" s="4" t="s">
        <v>466</v>
      </c>
      <c r="B168" s="4" t="s">
        <v>467</v>
      </c>
      <c r="C168" s="4" t="s">
        <v>302</v>
      </c>
      <c r="D168" s="4" t="s">
        <v>48</v>
      </c>
      <c r="E168" s="7">
        <v>699.0</v>
      </c>
    </row>
    <row r="169" ht="15.75" customHeight="1">
      <c r="A169" s="4" t="s">
        <v>468</v>
      </c>
      <c r="B169" s="4" t="s">
        <v>469</v>
      </c>
      <c r="C169" s="4" t="s">
        <v>302</v>
      </c>
      <c r="D169" s="4" t="s">
        <v>48</v>
      </c>
      <c r="E169" s="7">
        <v>599.0</v>
      </c>
    </row>
    <row r="170" ht="15.75" customHeight="1">
      <c r="A170" s="4" t="s">
        <v>470</v>
      </c>
      <c r="B170" s="4" t="s">
        <v>471</v>
      </c>
      <c r="C170" s="4" t="s">
        <v>353</v>
      </c>
      <c r="D170" s="4" t="s">
        <v>138</v>
      </c>
      <c r="E170" s="7">
        <v>499.0</v>
      </c>
    </row>
    <row r="171" ht="15.75" customHeight="1">
      <c r="A171" s="4" t="s">
        <v>472</v>
      </c>
      <c r="B171" s="4" t="s">
        <v>473</v>
      </c>
      <c r="C171" s="4" t="s">
        <v>353</v>
      </c>
      <c r="D171" s="4" t="s">
        <v>118</v>
      </c>
      <c r="E171" s="7">
        <v>999.0</v>
      </c>
    </row>
    <row r="172" ht="15.75" customHeight="1">
      <c r="A172" s="4" t="s">
        <v>474</v>
      </c>
      <c r="B172" s="4" t="s">
        <v>475</v>
      </c>
      <c r="C172" s="4" t="s">
        <v>353</v>
      </c>
      <c r="D172" s="4" t="s">
        <v>138</v>
      </c>
      <c r="E172" s="7">
        <v>199.0</v>
      </c>
    </row>
    <row r="173" ht="15.75" customHeight="1">
      <c r="A173" s="4" t="s">
        <v>476</v>
      </c>
      <c r="B173" s="4" t="s">
        <v>477</v>
      </c>
      <c r="C173" s="4" t="s">
        <v>353</v>
      </c>
      <c r="D173" s="4" t="s">
        <v>118</v>
      </c>
      <c r="E173" s="7">
        <v>249.0</v>
      </c>
    </row>
    <row r="174" ht="15.75" customHeight="1">
      <c r="A174" s="4" t="s">
        <v>478</v>
      </c>
      <c r="B174" s="4" t="s">
        <v>479</v>
      </c>
      <c r="C174" s="4" t="s">
        <v>394</v>
      </c>
      <c r="D174" s="4" t="s">
        <v>25</v>
      </c>
      <c r="E174" s="7">
        <v>899.0</v>
      </c>
    </row>
    <row r="175" ht="15.75" customHeight="1">
      <c r="A175" s="4" t="s">
        <v>480</v>
      </c>
      <c r="B175" s="4" t="s">
        <v>481</v>
      </c>
      <c r="C175" s="4" t="s">
        <v>394</v>
      </c>
      <c r="D175" s="4" t="s">
        <v>64</v>
      </c>
      <c r="E175" s="7">
        <v>299.0</v>
      </c>
    </row>
    <row r="176" ht="15.75" customHeight="1">
      <c r="A176" s="4" t="s">
        <v>482</v>
      </c>
      <c r="B176" s="4" t="s">
        <v>483</v>
      </c>
      <c r="C176" s="4" t="s">
        <v>394</v>
      </c>
      <c r="D176" s="4" t="s">
        <v>64</v>
      </c>
      <c r="E176" s="7">
        <v>499.0</v>
      </c>
    </row>
    <row r="177" ht="15.75" customHeight="1">
      <c r="A177" s="4" t="s">
        <v>484</v>
      </c>
      <c r="B177" s="4" t="s">
        <v>485</v>
      </c>
      <c r="C177" s="4" t="s">
        <v>415</v>
      </c>
      <c r="D177" s="4" t="s">
        <v>150</v>
      </c>
      <c r="E177" s="7">
        <v>499.0</v>
      </c>
    </row>
    <row r="178" ht="15.75" customHeight="1">
      <c r="A178" s="4" t="s">
        <v>486</v>
      </c>
      <c r="B178" s="4" t="s">
        <v>487</v>
      </c>
      <c r="C178" s="4" t="s">
        <v>415</v>
      </c>
      <c r="D178" s="4" t="s">
        <v>159</v>
      </c>
      <c r="E178" s="7">
        <v>249.0</v>
      </c>
    </row>
    <row r="179" ht="15.75" customHeight="1">
      <c r="A179" s="4" t="s">
        <v>488</v>
      </c>
      <c r="B179" s="4" t="s">
        <v>489</v>
      </c>
      <c r="C179" s="4" t="s">
        <v>415</v>
      </c>
      <c r="D179" s="4" t="s">
        <v>167</v>
      </c>
      <c r="E179" s="7">
        <v>299.0</v>
      </c>
    </row>
    <row r="180" ht="15.75" customHeight="1">
      <c r="A180" s="4" t="s">
        <v>490</v>
      </c>
      <c r="B180" s="4" t="s">
        <v>491</v>
      </c>
      <c r="C180" s="4" t="s">
        <v>415</v>
      </c>
      <c r="D180" s="4" t="s">
        <v>150</v>
      </c>
      <c r="E180" s="7">
        <v>275.0</v>
      </c>
    </row>
    <row r="181" ht="15.75" customHeight="1">
      <c r="A181" s="4" t="s">
        <v>492</v>
      </c>
      <c r="B181" s="4" t="s">
        <v>493</v>
      </c>
      <c r="C181" s="4" t="s">
        <v>415</v>
      </c>
      <c r="D181" s="4" t="s">
        <v>159</v>
      </c>
      <c r="E181" s="7">
        <v>299.0</v>
      </c>
    </row>
    <row r="182" ht="15.75" customHeight="1">
      <c r="A182" s="4" t="s">
        <v>494</v>
      </c>
      <c r="B182" s="4" t="s">
        <v>495</v>
      </c>
      <c r="C182" s="4" t="s">
        <v>415</v>
      </c>
      <c r="D182" s="4" t="s">
        <v>167</v>
      </c>
      <c r="E182" s="7">
        <v>349.0</v>
      </c>
    </row>
    <row r="183" ht="15.75" customHeight="1">
      <c r="A183" s="4" t="s">
        <v>496</v>
      </c>
      <c r="B183" s="4" t="s">
        <v>497</v>
      </c>
      <c r="C183" s="4" t="s">
        <v>415</v>
      </c>
      <c r="D183" s="4" t="s">
        <v>150</v>
      </c>
      <c r="E183" s="7">
        <v>199.0</v>
      </c>
    </row>
    <row r="184" ht="15.75" customHeight="1">
      <c r="A184" s="4" t="s">
        <v>498</v>
      </c>
      <c r="B184" s="4" t="s">
        <v>499</v>
      </c>
      <c r="C184" s="4" t="s">
        <v>415</v>
      </c>
      <c r="D184" s="4" t="s">
        <v>159</v>
      </c>
      <c r="E184" s="7">
        <v>399.0</v>
      </c>
    </row>
    <row r="185" ht="15.75" customHeight="1">
      <c r="A185" s="4" t="s">
        <v>500</v>
      </c>
      <c r="B185" s="4" t="s">
        <v>501</v>
      </c>
      <c r="C185" s="4" t="s">
        <v>415</v>
      </c>
      <c r="D185" s="4" t="s">
        <v>167</v>
      </c>
      <c r="E185" s="7">
        <v>349.0</v>
      </c>
    </row>
    <row r="186" ht="15.75" customHeight="1">
      <c r="A186" s="4" t="s">
        <v>502</v>
      </c>
      <c r="B186" s="4" t="s">
        <v>503</v>
      </c>
      <c r="C186" s="4" t="s">
        <v>415</v>
      </c>
      <c r="D186" s="4" t="s">
        <v>150</v>
      </c>
      <c r="E186" s="7">
        <v>229.0</v>
      </c>
    </row>
    <row r="187" ht="15.75" customHeight="1">
      <c r="A187" s="4" t="s">
        <v>504</v>
      </c>
      <c r="B187" s="4" t="s">
        <v>505</v>
      </c>
      <c r="C187" s="4" t="s">
        <v>415</v>
      </c>
      <c r="D187" s="4" t="s">
        <v>159</v>
      </c>
      <c r="E187" s="7">
        <v>399.0</v>
      </c>
    </row>
    <row r="188" ht="15.75" customHeight="1">
      <c r="A188" s="4" t="s">
        <v>506</v>
      </c>
      <c r="B188" s="4" t="s">
        <v>507</v>
      </c>
      <c r="C188" s="4" t="s">
        <v>415</v>
      </c>
      <c r="D188" s="4" t="s">
        <v>167</v>
      </c>
      <c r="E188" s="7">
        <v>575.0</v>
      </c>
    </row>
    <row r="189" ht="15.75" customHeight="1">
      <c r="A189" s="4" t="s">
        <v>508</v>
      </c>
      <c r="B189" s="4" t="s">
        <v>509</v>
      </c>
      <c r="C189" s="4" t="s">
        <v>415</v>
      </c>
      <c r="D189" s="4" t="s">
        <v>150</v>
      </c>
      <c r="E189" s="7">
        <v>149.0</v>
      </c>
    </row>
    <row r="190" ht="15.75" customHeight="1">
      <c r="A190" s="4" t="s">
        <v>510</v>
      </c>
      <c r="B190" s="4" t="s">
        <v>511</v>
      </c>
      <c r="C190" s="4" t="s">
        <v>415</v>
      </c>
      <c r="D190" s="4" t="s">
        <v>159</v>
      </c>
      <c r="E190" s="7">
        <v>399.0</v>
      </c>
    </row>
    <row r="191" ht="15.75" customHeight="1">
      <c r="A191" s="4" t="s">
        <v>512</v>
      </c>
      <c r="B191" s="4" t="s">
        <v>513</v>
      </c>
      <c r="C191" s="4" t="s">
        <v>415</v>
      </c>
      <c r="D191" s="4" t="s">
        <v>167</v>
      </c>
      <c r="E191" s="7">
        <v>199.0</v>
      </c>
    </row>
    <row r="192" ht="15.75" customHeight="1">
      <c r="A192" s="4" t="s">
        <v>514</v>
      </c>
      <c r="B192" s="4" t="s">
        <v>515</v>
      </c>
      <c r="C192" s="4" t="s">
        <v>415</v>
      </c>
      <c r="D192" s="4" t="s">
        <v>150</v>
      </c>
      <c r="E192" s="7">
        <v>399.0</v>
      </c>
    </row>
    <row r="193" ht="15.75" customHeight="1">
      <c r="A193" s="4" t="s">
        <v>516</v>
      </c>
      <c r="B193" s="4" t="s">
        <v>517</v>
      </c>
      <c r="C193" s="4" t="s">
        <v>415</v>
      </c>
      <c r="D193" s="4" t="s">
        <v>159</v>
      </c>
      <c r="E193" s="7">
        <v>149.0</v>
      </c>
    </row>
    <row r="194" ht="15.75" customHeight="1">
      <c r="A194" s="4" t="s">
        <v>518</v>
      </c>
      <c r="B194" s="4" t="s">
        <v>519</v>
      </c>
      <c r="C194" s="4" t="s">
        <v>415</v>
      </c>
      <c r="D194" s="4" t="s">
        <v>167</v>
      </c>
      <c r="E194" s="7">
        <v>129.0</v>
      </c>
    </row>
    <row r="195" ht="15.75" customHeight="1">
      <c r="A195" s="4" t="s">
        <v>520</v>
      </c>
      <c r="B195" s="4" t="s">
        <v>521</v>
      </c>
      <c r="C195" s="4" t="s">
        <v>415</v>
      </c>
      <c r="D195" s="4" t="s">
        <v>150</v>
      </c>
      <c r="E195" s="7">
        <v>399.0</v>
      </c>
    </row>
    <row r="196" ht="15.75" customHeight="1">
      <c r="A196" s="4" t="s">
        <v>522</v>
      </c>
      <c r="B196" s="4" t="s">
        <v>523</v>
      </c>
      <c r="C196" s="4" t="s">
        <v>415</v>
      </c>
      <c r="D196" s="4" t="s">
        <v>159</v>
      </c>
      <c r="E196" s="7">
        <v>699.0</v>
      </c>
    </row>
    <row r="197" ht="15.75" customHeight="1">
      <c r="A197" s="4" t="s">
        <v>524</v>
      </c>
      <c r="B197" s="4" t="s">
        <v>525</v>
      </c>
      <c r="C197" s="4" t="s">
        <v>415</v>
      </c>
      <c r="D197" s="4" t="s">
        <v>167</v>
      </c>
      <c r="E197" s="7">
        <v>499.0</v>
      </c>
    </row>
    <row r="198" ht="15.75" customHeight="1">
      <c r="A198" s="4" t="s">
        <v>526</v>
      </c>
      <c r="B198" s="4" t="s">
        <v>527</v>
      </c>
      <c r="C198" s="4" t="s">
        <v>415</v>
      </c>
      <c r="D198" s="4" t="s">
        <v>150</v>
      </c>
      <c r="E198" s="7">
        <v>149.0</v>
      </c>
    </row>
    <row r="199" ht="15.75" customHeight="1">
      <c r="A199" s="4" t="s">
        <v>528</v>
      </c>
      <c r="B199" s="4" t="s">
        <v>529</v>
      </c>
      <c r="C199" s="4" t="s">
        <v>415</v>
      </c>
      <c r="D199" s="4" t="s">
        <v>159</v>
      </c>
      <c r="E199" s="7">
        <v>299.0</v>
      </c>
    </row>
    <row r="200" ht="15.75" customHeight="1">
      <c r="A200" s="4" t="s">
        <v>530</v>
      </c>
      <c r="B200" s="4" t="s">
        <v>531</v>
      </c>
      <c r="C200" s="4" t="s">
        <v>415</v>
      </c>
      <c r="D200" s="4" t="s">
        <v>167</v>
      </c>
      <c r="E200" s="7">
        <v>199.0</v>
      </c>
    </row>
    <row r="201" ht="15.75" customHeight="1">
      <c r="A201" s="4" t="s">
        <v>532</v>
      </c>
      <c r="B201" s="4" t="s">
        <v>533</v>
      </c>
      <c r="C201" s="4" t="s">
        <v>415</v>
      </c>
      <c r="D201" s="4" t="s">
        <v>150</v>
      </c>
      <c r="E201" s="7">
        <v>249.0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51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7.75" customHeight="1">
      <c r="A1" s="2" t="s">
        <v>1</v>
      </c>
      <c r="B1" s="3"/>
    </row>
    <row r="2" ht="31.5" customHeight="1">
      <c r="A2" s="5" t="s">
        <v>11</v>
      </c>
      <c r="B2" s="6" t="s">
        <v>19</v>
      </c>
    </row>
    <row r="3" ht="31.5" customHeight="1">
      <c r="A3" s="5" t="s">
        <v>21</v>
      </c>
      <c r="B3" s="6" t="s">
        <v>24</v>
      </c>
    </row>
    <row r="4" ht="31.5" customHeight="1">
      <c r="A4" s="5" t="s">
        <v>26</v>
      </c>
      <c r="B4" s="6" t="s">
        <v>29</v>
      </c>
    </row>
    <row r="5" ht="31.5" customHeight="1">
      <c r="A5" s="5" t="s">
        <v>33</v>
      </c>
      <c r="B5" s="6" t="s">
        <v>34</v>
      </c>
    </row>
    <row r="6" ht="31.5" customHeight="1">
      <c r="A6" s="5" t="s">
        <v>38</v>
      </c>
      <c r="B6" s="6" t="s">
        <v>41</v>
      </c>
    </row>
    <row r="7" ht="31.5" customHeight="1">
      <c r="A7" s="5" t="s">
        <v>46</v>
      </c>
      <c r="B7" s="6" t="s">
        <v>50</v>
      </c>
    </row>
    <row r="8" ht="31.5" customHeight="1">
      <c r="A8" s="5" t="s">
        <v>56</v>
      </c>
      <c r="B8" s="6" t="s">
        <v>57</v>
      </c>
    </row>
    <row r="9" ht="31.5" customHeight="1">
      <c r="A9" s="5" t="s">
        <v>59</v>
      </c>
      <c r="B9" s="6" t="s">
        <v>62</v>
      </c>
    </row>
    <row r="10" ht="31.5" customHeight="1">
      <c r="A10" s="5" t="s">
        <v>66</v>
      </c>
      <c r="B10" s="6" t="s">
        <v>67</v>
      </c>
    </row>
    <row r="11" ht="31.5" customHeight="1">
      <c r="A11" s="5" t="s">
        <v>71</v>
      </c>
      <c r="B11" s="6" t="s">
        <v>74</v>
      </c>
    </row>
    <row r="12" ht="31.5" customHeight="1">
      <c r="A12" s="5" t="s">
        <v>78</v>
      </c>
      <c r="B12" s="6" t="s">
        <v>79</v>
      </c>
    </row>
    <row r="13" ht="31.5" customHeight="1">
      <c r="A13" s="5" t="s">
        <v>84</v>
      </c>
      <c r="B13" s="6" t="s">
        <v>87</v>
      </c>
    </row>
    <row r="14" ht="31.5" customHeight="1">
      <c r="A14" s="5" t="s">
        <v>90</v>
      </c>
      <c r="B14" s="6" t="s">
        <v>91</v>
      </c>
    </row>
    <row r="15" ht="31.5" customHeight="1">
      <c r="A15" s="5" t="s">
        <v>96</v>
      </c>
      <c r="B15" s="6" t="s">
        <v>100</v>
      </c>
    </row>
    <row r="16" ht="31.5" customHeight="1">
      <c r="A16" s="5" t="s">
        <v>105</v>
      </c>
      <c r="B16" s="6" t="s">
        <v>106</v>
      </c>
    </row>
    <row r="17" ht="31.5" customHeight="1">
      <c r="A17" s="5" t="s">
        <v>108</v>
      </c>
      <c r="B17" s="6" t="s">
        <v>110</v>
      </c>
    </row>
    <row r="18" ht="31.5" customHeight="1">
      <c r="A18" s="5" t="s">
        <v>115</v>
      </c>
      <c r="B18" s="6" t="s">
        <v>117</v>
      </c>
    </row>
    <row r="19" ht="31.5" customHeight="1">
      <c r="A19" s="5" t="s">
        <v>120</v>
      </c>
      <c r="B19" s="6" t="s">
        <v>123</v>
      </c>
    </row>
    <row r="20" ht="31.5" customHeight="1">
      <c r="A20" s="5" t="s">
        <v>126</v>
      </c>
      <c r="B20" s="6" t="s">
        <v>129</v>
      </c>
    </row>
    <row r="21" ht="31.5" customHeight="1">
      <c r="A21" s="5" t="s">
        <v>134</v>
      </c>
      <c r="B21" s="6" t="s">
        <v>137</v>
      </c>
    </row>
    <row r="22" ht="31.5" customHeight="1">
      <c r="A22" s="5" t="s">
        <v>140</v>
      </c>
      <c r="B22" s="6" t="s">
        <v>143</v>
      </c>
    </row>
    <row r="23" ht="31.5" customHeight="1">
      <c r="A23" s="5" t="s">
        <v>146</v>
      </c>
      <c r="B23" s="6" t="s">
        <v>148</v>
      </c>
    </row>
    <row r="24" ht="31.5" customHeight="1">
      <c r="A24" s="5" t="s">
        <v>152</v>
      </c>
      <c r="B24" s="6" t="s">
        <v>156</v>
      </c>
    </row>
    <row r="25" ht="31.5" customHeight="1">
      <c r="A25" s="5" t="s">
        <v>158</v>
      </c>
      <c r="B25" s="6" t="s">
        <v>161</v>
      </c>
    </row>
    <row r="26" ht="15.75" customHeight="1">
      <c r="A26" s="5" t="s">
        <v>166</v>
      </c>
      <c r="B26" s="6" t="s">
        <v>170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5"/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6" width="8.71"/>
  </cols>
  <sheetData>
    <row r="1">
      <c r="A1" s="1" t="s">
        <v>4</v>
      </c>
    </row>
    <row r="2">
      <c r="A2" s="4" t="s">
        <v>15</v>
      </c>
    </row>
    <row r="3">
      <c r="A3" s="4" t="s">
        <v>190</v>
      </c>
    </row>
    <row r="4">
      <c r="A4" s="4" t="s">
        <v>251</v>
      </c>
    </row>
    <row r="5">
      <c r="A5" s="4" t="s">
        <v>302</v>
      </c>
    </row>
    <row r="6">
      <c r="A6" s="4" t="s">
        <v>353</v>
      </c>
    </row>
    <row r="7">
      <c r="A7" s="4" t="s">
        <v>394</v>
      </c>
    </row>
    <row r="8">
      <c r="A8" s="4" t="s">
        <v>415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